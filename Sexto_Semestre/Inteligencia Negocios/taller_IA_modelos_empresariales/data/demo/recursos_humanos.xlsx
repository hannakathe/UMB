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eados" state="visible" r:id="rId4"/>
  </sheets>
  <calcPr calcId="171027"/>
</workbook>
</file>

<file path=xl/sharedStrings.xml><?xml version="1.0" encoding="utf-8"?>
<sst xmlns="http://schemas.openxmlformats.org/spreadsheetml/2006/main" count="972" uniqueCount="196">
  <si>
    <t>id_empleado</t>
  </si>
  <si>
    <t>area</t>
  </si>
  <si>
    <t>cargo</t>
  </si>
  <si>
    <t>sede</t>
  </si>
  <si>
    <t>modalidad</t>
  </si>
  <si>
    <t>fecha_ingreso</t>
  </si>
  <si>
    <t>salario_mensual</t>
  </si>
  <si>
    <t>salario_anual</t>
  </si>
  <si>
    <t>edad</t>
  </si>
  <si>
    <t>evaluacion_desempeno</t>
  </si>
  <si>
    <t>horas_capacitacion</t>
  </si>
  <si>
    <t>activo</t>
  </si>
  <si>
    <t>E-001</t>
  </si>
  <si>
    <t>Talento humano</t>
  </si>
  <si>
    <t>Analista de nómina</t>
  </si>
  <si>
    <t>Medellín</t>
  </si>
  <si>
    <t>Híbrido</t>
  </si>
  <si>
    <t>Sí</t>
  </si>
  <si>
    <t>E-002</t>
  </si>
  <si>
    <t>Tecnología</t>
  </si>
  <si>
    <t>Desarrollador</t>
  </si>
  <si>
    <t>Presencial</t>
  </si>
  <si>
    <t>E-003</t>
  </si>
  <si>
    <t>E-004</t>
  </si>
  <si>
    <t>Comercial</t>
  </si>
  <si>
    <t>Coordinador comercial</t>
  </si>
  <si>
    <t>Bogotá</t>
  </si>
  <si>
    <t>E-005</t>
  </si>
  <si>
    <t>Operaciones</t>
  </si>
  <si>
    <t>Auxiliar logístico</t>
  </si>
  <si>
    <t>E-006</t>
  </si>
  <si>
    <t>Cali</t>
  </si>
  <si>
    <t>E-007</t>
  </si>
  <si>
    <t>Remoto</t>
  </si>
  <si>
    <t>E-008</t>
  </si>
  <si>
    <t>Finanzas</t>
  </si>
  <si>
    <t>Contador</t>
  </si>
  <si>
    <t>E-009</t>
  </si>
  <si>
    <t>Analista de datos</t>
  </si>
  <si>
    <t>E-010</t>
  </si>
  <si>
    <t>E-011</t>
  </si>
  <si>
    <t>E-012</t>
  </si>
  <si>
    <t>E-013</t>
  </si>
  <si>
    <t>Asesor comercial</t>
  </si>
  <si>
    <t>E-014</t>
  </si>
  <si>
    <t>E-015</t>
  </si>
  <si>
    <t>Líder técnico</t>
  </si>
  <si>
    <t>E-016</t>
  </si>
  <si>
    <t>E-017</t>
  </si>
  <si>
    <t>E-018</t>
  </si>
  <si>
    <t>E-019</t>
  </si>
  <si>
    <t>E-020</t>
  </si>
  <si>
    <t>E-021</t>
  </si>
  <si>
    <t>E-022</t>
  </si>
  <si>
    <t>Psicólogo organizacional</t>
  </si>
  <si>
    <t>E-023</t>
  </si>
  <si>
    <t>Jefe de bodega</t>
  </si>
  <si>
    <t>E-024</t>
  </si>
  <si>
    <t>E-025</t>
  </si>
  <si>
    <t>E-026</t>
  </si>
  <si>
    <t>E-027</t>
  </si>
  <si>
    <t>E-028</t>
  </si>
  <si>
    <t>E-029</t>
  </si>
  <si>
    <t>E-030</t>
  </si>
  <si>
    <t>E-031</t>
  </si>
  <si>
    <t>E-032</t>
  </si>
  <si>
    <t>E-033</t>
  </si>
  <si>
    <t>E-034</t>
  </si>
  <si>
    <t>E-035</t>
  </si>
  <si>
    <t>No</t>
  </si>
  <si>
    <t>E-036</t>
  </si>
  <si>
    <t>E-037</t>
  </si>
  <si>
    <t>E-038</t>
  </si>
  <si>
    <t>E-039</t>
  </si>
  <si>
    <t>Analista financiero</t>
  </si>
  <si>
    <t>E-040</t>
  </si>
  <si>
    <t>E-041</t>
  </si>
  <si>
    <t>E-042</t>
  </si>
  <si>
    <t>E-043</t>
  </si>
  <si>
    <t>E-044</t>
  </si>
  <si>
    <t>E-045</t>
  </si>
  <si>
    <t>E-046</t>
  </si>
  <si>
    <t>E-047</t>
  </si>
  <si>
    <t>E-048</t>
  </si>
  <si>
    <t>E-049</t>
  </si>
  <si>
    <t>E-050</t>
  </si>
  <si>
    <t>E-051</t>
  </si>
  <si>
    <t>E-052</t>
  </si>
  <si>
    <t>E-053</t>
  </si>
  <si>
    <t>E-054</t>
  </si>
  <si>
    <t>E-055</t>
  </si>
  <si>
    <t>E-056</t>
  </si>
  <si>
    <t>E-057</t>
  </si>
  <si>
    <t>E-058</t>
  </si>
  <si>
    <t>E-059</t>
  </si>
  <si>
    <t>E-060</t>
  </si>
  <si>
    <t>E-061</t>
  </si>
  <si>
    <t>E-062</t>
  </si>
  <si>
    <t>E-063</t>
  </si>
  <si>
    <t>E-064</t>
  </si>
  <si>
    <t>E-065</t>
  </si>
  <si>
    <t>E-066</t>
  </si>
  <si>
    <t>E-067</t>
  </si>
  <si>
    <t>E-068</t>
  </si>
  <si>
    <t>E-069</t>
  </si>
  <si>
    <t>E-070</t>
  </si>
  <si>
    <t>E-071</t>
  </si>
  <si>
    <t>E-072</t>
  </si>
  <si>
    <t>E-073</t>
  </si>
  <si>
    <t>E-074</t>
  </si>
  <si>
    <t>E-075</t>
  </si>
  <si>
    <t>E-076</t>
  </si>
  <si>
    <t>E-077</t>
  </si>
  <si>
    <t>E-078</t>
  </si>
  <si>
    <t>E-079</t>
  </si>
  <si>
    <t>E-080</t>
  </si>
  <si>
    <t>E-081</t>
  </si>
  <si>
    <t>E-082</t>
  </si>
  <si>
    <t>E-083</t>
  </si>
  <si>
    <t>E-084</t>
  </si>
  <si>
    <t>E-085</t>
  </si>
  <si>
    <t>E-086</t>
  </si>
  <si>
    <t>E-087</t>
  </si>
  <si>
    <t>E-088</t>
  </si>
  <si>
    <t>E-089</t>
  </si>
  <si>
    <t>E-090</t>
  </si>
  <si>
    <t>E-091</t>
  </si>
  <si>
    <t>E-092</t>
  </si>
  <si>
    <t>E-093</t>
  </si>
  <si>
    <t>E-094</t>
  </si>
  <si>
    <t>E-095</t>
  </si>
  <si>
    <t>E-096</t>
  </si>
  <si>
    <t>E-097</t>
  </si>
  <si>
    <t>E-098</t>
  </si>
  <si>
    <t>E-099</t>
  </si>
  <si>
    <t>E-100</t>
  </si>
  <si>
    <t>E-101</t>
  </si>
  <si>
    <t>E-102</t>
  </si>
  <si>
    <t>E-103</t>
  </si>
  <si>
    <t>E-104</t>
  </si>
  <si>
    <t>E-105</t>
  </si>
  <si>
    <t>E-106</t>
  </si>
  <si>
    <t>E-107</t>
  </si>
  <si>
    <t>E-108</t>
  </si>
  <si>
    <t>E-109</t>
  </si>
  <si>
    <t>E-110</t>
  </si>
  <si>
    <t>E-111</t>
  </si>
  <si>
    <t>E-112</t>
  </si>
  <si>
    <t>E-113</t>
  </si>
  <si>
    <t>E-114</t>
  </si>
  <si>
    <t>E-115</t>
  </si>
  <si>
    <t>E-116</t>
  </si>
  <si>
    <t>E-117</t>
  </si>
  <si>
    <t>E-118</t>
  </si>
  <si>
    <t>E-119</t>
  </si>
  <si>
    <t>E-120</t>
  </si>
  <si>
    <t>E-121</t>
  </si>
  <si>
    <t>E-122</t>
  </si>
  <si>
    <t>E-123</t>
  </si>
  <si>
    <t>E-124</t>
  </si>
  <si>
    <t>E-125</t>
  </si>
  <si>
    <t>E-126</t>
  </si>
  <si>
    <t>E-127</t>
  </si>
  <si>
    <t>E-128</t>
  </si>
  <si>
    <t>E-129</t>
  </si>
  <si>
    <t>E-130</t>
  </si>
  <si>
    <t>E-131</t>
  </si>
  <si>
    <t>E-132</t>
  </si>
  <si>
    <t>E-133</t>
  </si>
  <si>
    <t>E-134</t>
  </si>
  <si>
    <t>E-135</t>
  </si>
  <si>
    <t>E-136</t>
  </si>
  <si>
    <t>E-137</t>
  </si>
  <si>
    <t>E-138</t>
  </si>
  <si>
    <t>E-139</t>
  </si>
  <si>
    <t>E-140</t>
  </si>
  <si>
    <t>E-141</t>
  </si>
  <si>
    <t>E-142</t>
  </si>
  <si>
    <t>E-143</t>
  </si>
  <si>
    <t>E-144</t>
  </si>
  <si>
    <t>E-145</t>
  </si>
  <si>
    <t>E-146</t>
  </si>
  <si>
    <t>E-147</t>
  </si>
  <si>
    <t>E-148</t>
  </si>
  <si>
    <t>E-149</t>
  </si>
  <si>
    <t>E-150</t>
  </si>
  <si>
    <t>E-151</t>
  </si>
  <si>
    <t>E-152</t>
  </si>
  <si>
    <t>E-153</t>
  </si>
  <si>
    <t>E-154</t>
  </si>
  <si>
    <t>E-155</t>
  </si>
  <si>
    <t>E-156</t>
  </si>
  <si>
    <t>E-157</t>
  </si>
  <si>
    <t>E-158</t>
  </si>
  <si>
    <t>E-159</t>
  </si>
  <si>
    <t>E-160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</si>
</sst>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1"/>
  <sheetFormatPr defaultRowHeight="15" outlineLevelRow="0" outlineLevelCol="0" x14ac:dyDescent="55"/>
  <cols>
    <col min="6" max="6" width="9" style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44528</v>
      </c>
      <c r="G2">
        <v>3653000</v>
      </c>
      <c r="H2">
        <f>G2*12</f>
        <v>43836000</v>
      </c>
      <c r="I2">
        <v>21</v>
      </c>
      <c r="J2">
        <v>3.9</v>
      </c>
      <c r="K2">
        <v>35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D3" t="s">
        <v>15</v>
      </c>
      <c r="E3" t="s">
        <v>21</v>
      </c>
      <c r="F3" s="1">
        <v>45703</v>
      </c>
      <c r="G3">
        <v>5835000</v>
      </c>
      <c r="H3">
        <f>G3*12</f>
        <v>70020000</v>
      </c>
      <c r="I3">
        <v>51</v>
      </c>
      <c r="J3">
        <v>5</v>
      </c>
      <c r="K3">
        <v>50</v>
      </c>
      <c r="L3" t="s">
        <v>17</v>
      </c>
    </row>
    <row r="4" spans="1:12" x14ac:dyDescent="0.25">
      <c r="A4" t="s">
        <v>22</v>
      </c>
      <c r="B4" t="s">
        <v>19</v>
      </c>
      <c r="C4" t="s">
        <v>20</v>
      </c>
      <c r="D4" t="s">
        <v>15</v>
      </c>
      <c r="E4" t="s">
        <v>16</v>
      </c>
      <c r="F4" s="1">
        <v>42548</v>
      </c>
      <c r="G4">
        <v>7118000</v>
      </c>
      <c r="H4">
        <f>G4*12</f>
        <v>85416000</v>
      </c>
      <c r="I4">
        <v>59</v>
      </c>
      <c r="J4">
        <v>4.4</v>
      </c>
      <c r="K4">
        <v>33</v>
      </c>
      <c r="L4" t="s">
        <v>17</v>
      </c>
    </row>
    <row r="5" spans="1:12" x14ac:dyDescent="0.25">
      <c r="A5" t="s">
        <v>23</v>
      </c>
      <c r="B5" t="s">
        <v>24</v>
      </c>
      <c r="C5" t="s">
        <v>25</v>
      </c>
      <c r="D5" t="s">
        <v>26</v>
      </c>
      <c r="E5" t="s">
        <v>21</v>
      </c>
      <c r="F5" s="1">
        <v>43966</v>
      </c>
      <c r="G5">
        <v>5009000</v>
      </c>
      <c r="H5">
        <f>G5*12</f>
        <v>60108000</v>
      </c>
      <c r="I5">
        <v>61</v>
      </c>
      <c r="J5">
        <v>5</v>
      </c>
      <c r="K5">
        <v>77</v>
      </c>
      <c r="L5" t="s">
        <v>17</v>
      </c>
    </row>
    <row r="6" spans="1:12" x14ac:dyDescent="0.25">
      <c r="A6" t="s">
        <v>27</v>
      </c>
      <c r="B6" t="s">
        <v>28</v>
      </c>
      <c r="C6" t="s">
        <v>29</v>
      </c>
      <c r="D6" t="s">
        <v>26</v>
      </c>
      <c r="E6" t="s">
        <v>21</v>
      </c>
      <c r="F6" s="1">
        <v>44313</v>
      </c>
      <c r="G6">
        <v>2028000</v>
      </c>
      <c r="H6">
        <f>G6*12</f>
        <v>24336000</v>
      </c>
      <c r="I6">
        <v>23</v>
      </c>
      <c r="J6">
        <v>4.4</v>
      </c>
      <c r="K6">
        <v>24</v>
      </c>
      <c r="L6" t="s">
        <v>17</v>
      </c>
    </row>
    <row r="7" spans="1:12" x14ac:dyDescent="0.25">
      <c r="A7" t="s">
        <v>30</v>
      </c>
      <c r="B7" t="s">
        <v>19</v>
      </c>
      <c r="C7" t="s">
        <v>20</v>
      </c>
      <c r="D7" t="s">
        <v>31</v>
      </c>
      <c r="E7" t="s">
        <v>21</v>
      </c>
      <c r="F7" s="1">
        <v>43538</v>
      </c>
      <c r="G7">
        <v>6235000</v>
      </c>
      <c r="H7">
        <f>G7*12</f>
        <v>74820000</v>
      </c>
      <c r="I7">
        <v>27</v>
      </c>
      <c r="J7">
        <v>3.5</v>
      </c>
      <c r="K7">
        <v>21</v>
      </c>
      <c r="L7" t="s">
        <v>17</v>
      </c>
    </row>
    <row r="8" spans="1:12" x14ac:dyDescent="0.25">
      <c r="A8" t="s">
        <v>32</v>
      </c>
      <c r="B8" t="s">
        <v>19</v>
      </c>
      <c r="C8" t="s">
        <v>20</v>
      </c>
      <c r="D8" t="s">
        <v>31</v>
      </c>
      <c r="E8" t="s">
        <v>33</v>
      </c>
      <c r="F8" s="1">
        <v>42104</v>
      </c>
      <c r="G8">
        <v>6951000</v>
      </c>
      <c r="H8">
        <f>G8*12</f>
        <v>83412000</v>
      </c>
      <c r="I8">
        <v>36</v>
      </c>
      <c r="J8">
        <v>4.6</v>
      </c>
      <c r="K8">
        <v>79</v>
      </c>
      <c r="L8" t="s">
        <v>17</v>
      </c>
    </row>
    <row r="9" spans="1:12" x14ac:dyDescent="0.25">
      <c r="A9" t="s">
        <v>34</v>
      </c>
      <c r="B9" t="s">
        <v>35</v>
      </c>
      <c r="C9" t="s">
        <v>36</v>
      </c>
      <c r="D9" t="s">
        <v>31</v>
      </c>
      <c r="E9" t="s">
        <v>21</v>
      </c>
      <c r="F9" s="1">
        <v>44627</v>
      </c>
      <c r="G9">
        <v>5959000</v>
      </c>
      <c r="H9">
        <f>G9*12</f>
        <v>71508000</v>
      </c>
      <c r="I9">
        <v>32</v>
      </c>
      <c r="J9">
        <v>4.7</v>
      </c>
      <c r="K9">
        <v>68</v>
      </c>
      <c r="L9" t="s">
        <v>17</v>
      </c>
    </row>
    <row r="10" spans="1:12" x14ac:dyDescent="0.25">
      <c r="A10" t="s">
        <v>37</v>
      </c>
      <c r="B10" t="s">
        <v>19</v>
      </c>
      <c r="C10" t="s">
        <v>38</v>
      </c>
      <c r="D10" t="s">
        <v>26</v>
      </c>
      <c r="E10" t="s">
        <v>21</v>
      </c>
      <c r="F10" s="1">
        <v>44722</v>
      </c>
      <c r="G10">
        <v>5721000</v>
      </c>
      <c r="H10">
        <f>G10*12</f>
        <v>68652000</v>
      </c>
      <c r="I10">
        <v>54</v>
      </c>
      <c r="J10">
        <v>4.3</v>
      </c>
      <c r="K10">
        <v>17</v>
      </c>
      <c r="L10" t="s">
        <v>17</v>
      </c>
    </row>
    <row r="11" spans="1:12" x14ac:dyDescent="0.25">
      <c r="A11" t="s">
        <v>39</v>
      </c>
      <c r="B11" t="s">
        <v>24</v>
      </c>
      <c r="C11" t="s">
        <v>25</v>
      </c>
      <c r="D11" t="s">
        <v>15</v>
      </c>
      <c r="E11" t="s">
        <v>21</v>
      </c>
      <c r="F11" s="1">
        <v>41344</v>
      </c>
      <c r="G11">
        <v>5542000</v>
      </c>
      <c r="H11">
        <f>G11*12</f>
        <v>66504000</v>
      </c>
      <c r="I11">
        <v>52</v>
      </c>
      <c r="J11">
        <v>4.1</v>
      </c>
      <c r="K11">
        <v>66</v>
      </c>
      <c r="L11" t="s">
        <v>17</v>
      </c>
    </row>
    <row r="12" spans="1:12" x14ac:dyDescent="0.25">
      <c r="A12" t="s">
        <v>40</v>
      </c>
      <c r="B12" t="s">
        <v>24</v>
      </c>
      <c r="C12" t="s">
        <v>25</v>
      </c>
      <c r="D12" t="s">
        <v>31</v>
      </c>
      <c r="E12" t="s">
        <v>33</v>
      </c>
      <c r="F12" s="1">
        <v>41537</v>
      </c>
      <c r="G12">
        <v>5730000</v>
      </c>
      <c r="H12">
        <f>G12*12</f>
        <v>68760000</v>
      </c>
      <c r="I12">
        <v>37</v>
      </c>
      <c r="J12">
        <v>3.1</v>
      </c>
      <c r="K12">
        <v>16</v>
      </c>
      <c r="L12" t="s">
        <v>17</v>
      </c>
    </row>
    <row r="13" spans="1:12" x14ac:dyDescent="0.25">
      <c r="A13" t="s">
        <v>41</v>
      </c>
      <c r="B13" t="s">
        <v>28</v>
      </c>
      <c r="C13" t="s">
        <v>29</v>
      </c>
      <c r="D13" t="s">
        <v>26</v>
      </c>
      <c r="E13" t="s">
        <v>33</v>
      </c>
      <c r="F13" s="1">
        <v>45661</v>
      </c>
      <c r="G13">
        <v>1676000</v>
      </c>
      <c r="H13">
        <f>G13*12</f>
        <v>20112000</v>
      </c>
      <c r="I13">
        <v>52</v>
      </c>
      <c r="J13">
        <v>3.5</v>
      </c>
      <c r="K13">
        <v>4</v>
      </c>
      <c r="L13" t="s">
        <v>17</v>
      </c>
    </row>
    <row r="14" spans="1:12" x14ac:dyDescent="0.25">
      <c r="A14" t="s">
        <v>42</v>
      </c>
      <c r="B14" t="s">
        <v>24</v>
      </c>
      <c r="C14" t="s">
        <v>43</v>
      </c>
      <c r="D14" t="s">
        <v>26</v>
      </c>
      <c r="E14" t="s">
        <v>16</v>
      </c>
      <c r="F14" s="1">
        <v>43977</v>
      </c>
      <c r="G14">
        <v>2177000</v>
      </c>
      <c r="H14">
        <f>G14*12</f>
        <v>26124000</v>
      </c>
      <c r="I14">
        <v>58</v>
      </c>
      <c r="J14">
        <v>3.9</v>
      </c>
      <c r="K14">
        <v>2</v>
      </c>
      <c r="L14" t="s">
        <v>17</v>
      </c>
    </row>
    <row r="15" spans="1:12" x14ac:dyDescent="0.25">
      <c r="A15" t="s">
        <v>44</v>
      </c>
      <c r="B15" t="s">
        <v>19</v>
      </c>
      <c r="C15" t="s">
        <v>20</v>
      </c>
      <c r="D15" t="s">
        <v>26</v>
      </c>
      <c r="E15" t="s">
        <v>33</v>
      </c>
      <c r="F15" s="1">
        <v>45946</v>
      </c>
      <c r="G15">
        <v>5214000</v>
      </c>
      <c r="H15">
        <f>G15*12</f>
        <v>62568000</v>
      </c>
      <c r="I15">
        <v>52</v>
      </c>
      <c r="J15">
        <v>4</v>
      </c>
      <c r="K15">
        <v>51</v>
      </c>
      <c r="L15" t="s">
        <v>17</v>
      </c>
    </row>
    <row r="16" spans="1:12" x14ac:dyDescent="0.25">
      <c r="A16" t="s">
        <v>45</v>
      </c>
      <c r="B16" t="s">
        <v>19</v>
      </c>
      <c r="C16" t="s">
        <v>46</v>
      </c>
      <c r="D16" t="s">
        <v>15</v>
      </c>
      <c r="E16" t="s">
        <v>21</v>
      </c>
      <c r="F16" s="1">
        <v>44679</v>
      </c>
      <c r="G16">
        <v>9660000</v>
      </c>
      <c r="H16">
        <f>G16*12</f>
        <v>115920000</v>
      </c>
      <c r="I16">
        <v>30</v>
      </c>
      <c r="J16">
        <v>3.9</v>
      </c>
      <c r="K16">
        <v>59</v>
      </c>
      <c r="L16" t="s">
        <v>17</v>
      </c>
    </row>
    <row r="17" spans="1:12" x14ac:dyDescent="0.25">
      <c r="A17" t="s">
        <v>47</v>
      </c>
      <c r="B17" t="s">
        <v>24</v>
      </c>
      <c r="C17" t="s">
        <v>43</v>
      </c>
      <c r="D17" t="s">
        <v>26</v>
      </c>
      <c r="E17" t="s">
        <v>21</v>
      </c>
      <c r="F17" s="1">
        <v>45793</v>
      </c>
      <c r="G17">
        <v>2112000</v>
      </c>
      <c r="H17">
        <f>G17*12</f>
        <v>25344000</v>
      </c>
      <c r="I17">
        <v>26</v>
      </c>
      <c r="J17">
        <v>3.1</v>
      </c>
      <c r="K17">
        <v>10</v>
      </c>
      <c r="L17" t="s">
        <v>17</v>
      </c>
    </row>
    <row r="18" spans="1:12" x14ac:dyDescent="0.25">
      <c r="A18" t="s">
        <v>48</v>
      </c>
      <c r="B18" t="s">
        <v>13</v>
      </c>
      <c r="C18" t="s">
        <v>14</v>
      </c>
      <c r="D18" t="s">
        <v>26</v>
      </c>
      <c r="E18" t="s">
        <v>33</v>
      </c>
      <c r="F18" s="1">
        <v>41922</v>
      </c>
      <c r="G18">
        <v>3769000</v>
      </c>
      <c r="H18">
        <f>G18*12</f>
        <v>45228000</v>
      </c>
      <c r="I18">
        <v>43</v>
      </c>
      <c r="J18">
        <v>4.6</v>
      </c>
      <c r="K18">
        <v>55</v>
      </c>
      <c r="L18" t="s">
        <v>17</v>
      </c>
    </row>
    <row r="19" spans="1:12" x14ac:dyDescent="0.25">
      <c r="A19" t="s">
        <v>49</v>
      </c>
      <c r="B19" t="s">
        <v>24</v>
      </c>
      <c r="C19" t="s">
        <v>25</v>
      </c>
      <c r="D19" t="s">
        <v>26</v>
      </c>
      <c r="E19" t="s">
        <v>16</v>
      </c>
      <c r="F19" s="1">
        <v>42186</v>
      </c>
      <c r="G19">
        <v>5130000</v>
      </c>
      <c r="H19">
        <f>G19*12</f>
        <v>61560000</v>
      </c>
      <c r="I19">
        <v>54</v>
      </c>
      <c r="J19">
        <v>4.8</v>
      </c>
      <c r="K19">
        <v>54</v>
      </c>
      <c r="L19" t="s">
        <v>17</v>
      </c>
    </row>
    <row r="20" spans="1:12" x14ac:dyDescent="0.25">
      <c r="A20" t="s">
        <v>50</v>
      </c>
      <c r="B20" t="s">
        <v>13</v>
      </c>
      <c r="C20" t="s">
        <v>14</v>
      </c>
      <c r="D20" t="s">
        <v>26</v>
      </c>
      <c r="E20" t="s">
        <v>33</v>
      </c>
      <c r="F20" s="1">
        <v>45805</v>
      </c>
      <c r="G20">
        <v>3327000</v>
      </c>
      <c r="H20">
        <f>G20*12</f>
        <v>39924000</v>
      </c>
      <c r="I20">
        <v>62</v>
      </c>
      <c r="J20">
        <v>4.2</v>
      </c>
      <c r="K20">
        <v>72</v>
      </c>
      <c r="L20" t="s">
        <v>17</v>
      </c>
    </row>
    <row r="21" spans="1:12" x14ac:dyDescent="0.25">
      <c r="A21" t="s">
        <v>51</v>
      </c>
      <c r="B21" t="s">
        <v>24</v>
      </c>
      <c r="C21" t="s">
        <v>25</v>
      </c>
      <c r="D21" t="s">
        <v>15</v>
      </c>
      <c r="E21" t="s">
        <v>21</v>
      </c>
      <c r="F21" s="1">
        <v>45737</v>
      </c>
      <c r="G21">
        <v>4140000</v>
      </c>
      <c r="H21">
        <f>G21*12</f>
        <v>49680000</v>
      </c>
      <c r="I21">
        <v>38</v>
      </c>
      <c r="J21">
        <v>4.4</v>
      </c>
      <c r="K21">
        <v>34</v>
      </c>
      <c r="L21" t="s">
        <v>17</v>
      </c>
    </row>
    <row r="22" spans="1:12" x14ac:dyDescent="0.25">
      <c r="A22" t="s">
        <v>52</v>
      </c>
      <c r="B22" t="s">
        <v>28</v>
      </c>
      <c r="C22" t="s">
        <v>29</v>
      </c>
      <c r="D22" t="s">
        <v>31</v>
      </c>
      <c r="E22" t="s">
        <v>21</v>
      </c>
      <c r="F22" s="1">
        <v>42778</v>
      </c>
      <c r="G22">
        <v>2178000</v>
      </c>
      <c r="H22">
        <f>G22*12</f>
        <v>26136000</v>
      </c>
      <c r="I22">
        <v>28</v>
      </c>
      <c r="J22">
        <v>4.4</v>
      </c>
      <c r="K22">
        <v>34</v>
      </c>
      <c r="L22" t="s">
        <v>17</v>
      </c>
    </row>
    <row r="23" spans="1:12" x14ac:dyDescent="0.25">
      <c r="A23" t="s">
        <v>53</v>
      </c>
      <c r="B23" t="s">
        <v>13</v>
      </c>
      <c r="C23" t="s">
        <v>54</v>
      </c>
      <c r="D23" t="s">
        <v>26</v>
      </c>
      <c r="E23" t="s">
        <v>16</v>
      </c>
      <c r="F23" s="1">
        <v>45805</v>
      </c>
      <c r="G23">
        <v>3983000</v>
      </c>
      <c r="H23">
        <f>G23*12</f>
        <v>47796000</v>
      </c>
      <c r="I23">
        <v>41</v>
      </c>
      <c r="J23">
        <v>4.5</v>
      </c>
      <c r="K23">
        <v>62</v>
      </c>
      <c r="L23" t="s">
        <v>17</v>
      </c>
    </row>
    <row r="24" spans="1:12" x14ac:dyDescent="0.25">
      <c r="A24" t="s">
        <v>55</v>
      </c>
      <c r="B24" t="s">
        <v>28</v>
      </c>
      <c r="C24" t="s">
        <v>56</v>
      </c>
      <c r="D24" t="s">
        <v>15</v>
      </c>
      <c r="E24" t="s">
        <v>16</v>
      </c>
      <c r="F24" s="1">
        <v>44432</v>
      </c>
      <c r="G24">
        <v>3933000</v>
      </c>
      <c r="H24">
        <f>G24*12</f>
        <v>47196000</v>
      </c>
      <c r="I24">
        <v>27</v>
      </c>
      <c r="J24">
        <v>4.3</v>
      </c>
      <c r="K24">
        <v>49</v>
      </c>
      <c r="L24" t="s">
        <v>17</v>
      </c>
    </row>
    <row r="25" spans="1:12" x14ac:dyDescent="0.25">
      <c r="A25" t="s">
        <v>57</v>
      </c>
      <c r="B25" t="s">
        <v>24</v>
      </c>
      <c r="C25" t="s">
        <v>25</v>
      </c>
      <c r="D25" t="s">
        <v>15</v>
      </c>
      <c r="E25" t="s">
        <v>33</v>
      </c>
      <c r="F25" s="1">
        <v>43414</v>
      </c>
      <c r="G25">
        <v>4977000</v>
      </c>
      <c r="H25">
        <f>G25*12</f>
        <v>59724000</v>
      </c>
      <c r="I25">
        <v>52</v>
      </c>
      <c r="J25">
        <v>3.9</v>
      </c>
      <c r="K25">
        <v>45</v>
      </c>
      <c r="L25" t="s">
        <v>17</v>
      </c>
    </row>
    <row r="26" spans="1:12" x14ac:dyDescent="0.25">
      <c r="A26" t="s">
        <v>58</v>
      </c>
      <c r="B26" t="s">
        <v>35</v>
      </c>
      <c r="C26" t="s">
        <v>36</v>
      </c>
      <c r="D26" t="s">
        <v>31</v>
      </c>
      <c r="E26" t="s">
        <v>21</v>
      </c>
      <c r="F26" s="1">
        <v>42609</v>
      </c>
      <c r="G26">
        <v>5892000</v>
      </c>
      <c r="H26">
        <f>G26*12</f>
        <v>70704000</v>
      </c>
      <c r="I26">
        <v>38</v>
      </c>
      <c r="J26">
        <v>4.5</v>
      </c>
      <c r="K26">
        <v>64</v>
      </c>
      <c r="L26" t="s">
        <v>17</v>
      </c>
    </row>
    <row r="27" spans="1:12" x14ac:dyDescent="0.25">
      <c r="A27" t="s">
        <v>59</v>
      </c>
      <c r="B27" t="s">
        <v>28</v>
      </c>
      <c r="C27" t="s">
        <v>29</v>
      </c>
      <c r="D27" t="s">
        <v>15</v>
      </c>
      <c r="E27" t="s">
        <v>16</v>
      </c>
      <c r="F27" s="1">
        <v>41842</v>
      </c>
      <c r="G27">
        <v>2303000</v>
      </c>
      <c r="H27">
        <f>G27*12</f>
        <v>27636000</v>
      </c>
      <c r="I27">
        <v>27</v>
      </c>
      <c r="J27">
        <v>4.1</v>
      </c>
      <c r="K27">
        <v>72</v>
      </c>
      <c r="L27" t="s">
        <v>17</v>
      </c>
    </row>
    <row r="28" spans="1:12" x14ac:dyDescent="0.25">
      <c r="A28" t="s">
        <v>60</v>
      </c>
      <c r="B28" t="s">
        <v>19</v>
      </c>
      <c r="C28" t="s">
        <v>20</v>
      </c>
      <c r="D28" t="s">
        <v>31</v>
      </c>
      <c r="E28" t="s">
        <v>16</v>
      </c>
      <c r="F28" s="1">
        <v>42095</v>
      </c>
      <c r="G28">
        <v>6726000</v>
      </c>
      <c r="H28">
        <f>G28*12</f>
        <v>80712000</v>
      </c>
      <c r="I28">
        <v>48</v>
      </c>
      <c r="J28">
        <v>3.7</v>
      </c>
      <c r="K28">
        <v>38</v>
      </c>
      <c r="L28" t="s">
        <v>17</v>
      </c>
    </row>
    <row r="29" spans="1:12" x14ac:dyDescent="0.25">
      <c r="A29" t="s">
        <v>61</v>
      </c>
      <c r="B29" t="s">
        <v>24</v>
      </c>
      <c r="C29" t="s">
        <v>43</v>
      </c>
      <c r="D29" t="s">
        <v>26</v>
      </c>
      <c r="E29" t="s">
        <v>16</v>
      </c>
      <c r="F29" s="1">
        <v>42701</v>
      </c>
      <c r="G29">
        <v>2540000</v>
      </c>
      <c r="H29">
        <f>G29*12</f>
        <v>30480000</v>
      </c>
      <c r="I29">
        <v>43</v>
      </c>
      <c r="J29">
        <v>3.7</v>
      </c>
      <c r="K29">
        <v>5</v>
      </c>
      <c r="L29" t="s">
        <v>17</v>
      </c>
    </row>
    <row r="30" spans="1:12" x14ac:dyDescent="0.25">
      <c r="A30" t="s">
        <v>62</v>
      </c>
      <c r="B30" t="s">
        <v>28</v>
      </c>
      <c r="C30" t="s">
        <v>56</v>
      </c>
      <c r="D30" t="s">
        <v>15</v>
      </c>
      <c r="E30" t="s">
        <v>16</v>
      </c>
      <c r="F30" s="1">
        <v>45415</v>
      </c>
      <c r="G30">
        <v>3731000</v>
      </c>
      <c r="H30">
        <f>G30*12</f>
        <v>44772000</v>
      </c>
      <c r="I30">
        <v>31</v>
      </c>
      <c r="J30">
        <v>3.8</v>
      </c>
      <c r="K30">
        <v>38</v>
      </c>
      <c r="L30" t="s">
        <v>17</v>
      </c>
    </row>
    <row r="31" spans="1:12" x14ac:dyDescent="0.25">
      <c r="A31" t="s">
        <v>63</v>
      </c>
      <c r="B31" t="s">
        <v>19</v>
      </c>
      <c r="C31" t="s">
        <v>38</v>
      </c>
      <c r="D31" t="s">
        <v>31</v>
      </c>
      <c r="E31" t="s">
        <v>16</v>
      </c>
      <c r="F31" s="1">
        <v>41905</v>
      </c>
      <c r="G31">
        <v>5906000</v>
      </c>
      <c r="H31">
        <f>G31*12</f>
        <v>70872000</v>
      </c>
      <c r="I31">
        <v>30</v>
      </c>
      <c r="J31">
        <v>3.6</v>
      </c>
      <c r="K31">
        <v>16</v>
      </c>
      <c r="L31" t="s">
        <v>17</v>
      </c>
    </row>
    <row r="32" spans="1:12" x14ac:dyDescent="0.25">
      <c r="A32" t="s">
        <v>64</v>
      </c>
      <c r="B32" t="s">
        <v>24</v>
      </c>
      <c r="C32" t="s">
        <v>25</v>
      </c>
      <c r="D32" t="s">
        <v>26</v>
      </c>
      <c r="E32" t="s">
        <v>16</v>
      </c>
      <c r="F32" s="1">
        <v>44472</v>
      </c>
      <c r="G32">
        <v>4689000</v>
      </c>
      <c r="H32">
        <f>G32*12</f>
        <v>56268000</v>
      </c>
      <c r="I32">
        <v>53</v>
      </c>
      <c r="J32">
        <v>4.6</v>
      </c>
      <c r="K32">
        <v>35</v>
      </c>
      <c r="L32" t="s">
        <v>17</v>
      </c>
    </row>
    <row r="33" spans="1:12" x14ac:dyDescent="0.25">
      <c r="A33" t="s">
        <v>65</v>
      </c>
      <c r="B33" t="s">
        <v>24</v>
      </c>
      <c r="C33" t="s">
        <v>25</v>
      </c>
      <c r="D33" t="s">
        <v>26</v>
      </c>
      <c r="E33" t="s">
        <v>16</v>
      </c>
      <c r="F33" s="1">
        <v>44115</v>
      </c>
      <c r="G33">
        <v>5011000</v>
      </c>
      <c r="H33">
        <f>G33*12</f>
        <v>60132000</v>
      </c>
      <c r="I33">
        <v>53</v>
      </c>
      <c r="J33">
        <v>3.7</v>
      </c>
      <c r="K33">
        <v>48</v>
      </c>
      <c r="L33" t="s">
        <v>17</v>
      </c>
    </row>
    <row r="34" spans="1:12" x14ac:dyDescent="0.25">
      <c r="A34" t="s">
        <v>66</v>
      </c>
      <c r="B34" t="s">
        <v>24</v>
      </c>
      <c r="C34" t="s">
        <v>25</v>
      </c>
      <c r="D34" t="s">
        <v>15</v>
      </c>
      <c r="E34" t="s">
        <v>33</v>
      </c>
      <c r="F34" s="1">
        <v>45973</v>
      </c>
      <c r="G34">
        <v>4184000</v>
      </c>
      <c r="H34">
        <f>G34*12</f>
        <v>50208000</v>
      </c>
      <c r="I34">
        <v>33</v>
      </c>
      <c r="J34">
        <v>3.3</v>
      </c>
      <c r="K34">
        <v>20</v>
      </c>
      <c r="L34" t="s">
        <v>17</v>
      </c>
    </row>
    <row r="35" spans="1:12" x14ac:dyDescent="0.25">
      <c r="A35" t="s">
        <v>67</v>
      </c>
      <c r="B35" t="s">
        <v>28</v>
      </c>
      <c r="C35" t="s">
        <v>29</v>
      </c>
      <c r="D35" t="s">
        <v>15</v>
      </c>
      <c r="E35" t="s">
        <v>33</v>
      </c>
      <c r="F35" s="1">
        <v>43777</v>
      </c>
      <c r="G35">
        <v>2085000</v>
      </c>
      <c r="H35">
        <f>G35*12</f>
        <v>25020000</v>
      </c>
      <c r="I35">
        <v>39</v>
      </c>
      <c r="J35">
        <v>4.1</v>
      </c>
      <c r="K35">
        <v>46</v>
      </c>
      <c r="L35" t="s">
        <v>17</v>
      </c>
    </row>
    <row r="36" spans="1:12" x14ac:dyDescent="0.25">
      <c r="A36" t="s">
        <v>68</v>
      </c>
      <c r="B36" t="s">
        <v>24</v>
      </c>
      <c r="C36" t="s">
        <v>25</v>
      </c>
      <c r="D36" t="s">
        <v>26</v>
      </c>
      <c r="E36" t="s">
        <v>21</v>
      </c>
      <c r="F36" s="1">
        <v>45140</v>
      </c>
      <c r="G36">
        <v>4105000</v>
      </c>
      <c r="H36">
        <f>G36*12</f>
        <v>49260000</v>
      </c>
      <c r="I36">
        <v>42</v>
      </c>
      <c r="J36">
        <v>3.3</v>
      </c>
      <c r="K36">
        <v>27</v>
      </c>
      <c r="L36" t="s">
        <v>69</v>
      </c>
    </row>
    <row r="37" spans="1:12" x14ac:dyDescent="0.25">
      <c r="A37" t="s">
        <v>70</v>
      </c>
      <c r="B37" t="s">
        <v>28</v>
      </c>
      <c r="C37" t="s">
        <v>29</v>
      </c>
      <c r="D37" t="s">
        <v>31</v>
      </c>
      <c r="E37" t="s">
        <v>21</v>
      </c>
      <c r="F37" s="1">
        <v>42300</v>
      </c>
      <c r="G37">
        <v>2363000</v>
      </c>
      <c r="H37">
        <f>G37*12</f>
        <v>28356000</v>
      </c>
      <c r="I37">
        <v>42</v>
      </c>
      <c r="J37">
        <v>3.4</v>
      </c>
      <c r="K37">
        <v>39</v>
      </c>
      <c r="L37" t="s">
        <v>69</v>
      </c>
    </row>
    <row r="38" spans="1:12" x14ac:dyDescent="0.25">
      <c r="A38" t="s">
        <v>71</v>
      </c>
      <c r="B38" t="s">
        <v>24</v>
      </c>
      <c r="C38" t="s">
        <v>25</v>
      </c>
      <c r="D38" t="s">
        <v>15</v>
      </c>
      <c r="E38" t="s">
        <v>16</v>
      </c>
      <c r="F38" s="1">
        <v>43549</v>
      </c>
      <c r="G38">
        <v>5001000</v>
      </c>
      <c r="H38">
        <f>G38*12</f>
        <v>60012000</v>
      </c>
      <c r="I38">
        <v>36</v>
      </c>
      <c r="J38">
        <v>3.6</v>
      </c>
      <c r="K38">
        <v>43</v>
      </c>
      <c r="L38" t="s">
        <v>17</v>
      </c>
    </row>
    <row r="39" spans="1:12" x14ac:dyDescent="0.25">
      <c r="A39" t="s">
        <v>72</v>
      </c>
      <c r="B39" t="s">
        <v>19</v>
      </c>
      <c r="C39" t="s">
        <v>20</v>
      </c>
      <c r="D39" t="s">
        <v>15</v>
      </c>
      <c r="E39" t="s">
        <v>33</v>
      </c>
      <c r="F39" s="1">
        <v>45154</v>
      </c>
      <c r="G39">
        <v>5405000</v>
      </c>
      <c r="H39">
        <f>G39*12</f>
        <v>64860000</v>
      </c>
      <c r="I39">
        <v>33</v>
      </c>
      <c r="J39">
        <v>3.7</v>
      </c>
      <c r="K39">
        <v>44</v>
      </c>
      <c r="L39" t="s">
        <v>17</v>
      </c>
    </row>
    <row r="40" spans="1:12" x14ac:dyDescent="0.25">
      <c r="A40" t="s">
        <v>73</v>
      </c>
      <c r="B40" t="s">
        <v>35</v>
      </c>
      <c r="C40" t="s">
        <v>74</v>
      </c>
      <c r="D40" t="s">
        <v>15</v>
      </c>
      <c r="E40" t="s">
        <v>21</v>
      </c>
      <c r="F40" s="1">
        <v>42357</v>
      </c>
      <c r="G40">
        <v>5322000</v>
      </c>
      <c r="H40">
        <f>G40*12</f>
        <v>63864000</v>
      </c>
      <c r="I40">
        <v>58</v>
      </c>
      <c r="J40">
        <v>5</v>
      </c>
      <c r="K40">
        <v>65</v>
      </c>
      <c r="L40" t="s">
        <v>17</v>
      </c>
    </row>
    <row r="41" spans="1:12" x14ac:dyDescent="0.25">
      <c r="A41" t="s">
        <v>75</v>
      </c>
      <c r="B41" t="s">
        <v>13</v>
      </c>
      <c r="C41" t="s">
        <v>14</v>
      </c>
      <c r="D41" t="s">
        <v>15</v>
      </c>
      <c r="E41" t="s">
        <v>16</v>
      </c>
      <c r="F41" s="1">
        <v>43833</v>
      </c>
      <c r="G41">
        <v>3437000</v>
      </c>
      <c r="H41">
        <f>G41*12</f>
        <v>41244000</v>
      </c>
      <c r="I41">
        <v>45</v>
      </c>
      <c r="J41">
        <v>4.1</v>
      </c>
      <c r="K41">
        <v>15</v>
      </c>
      <c r="L41" t="s">
        <v>17</v>
      </c>
    </row>
    <row r="42" spans="1:12" x14ac:dyDescent="0.25">
      <c r="A42" t="s">
        <v>76</v>
      </c>
      <c r="B42" t="s">
        <v>24</v>
      </c>
      <c r="C42" t="s">
        <v>43</v>
      </c>
      <c r="D42" t="s">
        <v>26</v>
      </c>
      <c r="E42" t="s">
        <v>33</v>
      </c>
      <c r="F42" s="1">
        <v>41335</v>
      </c>
      <c r="G42">
        <v>2691000</v>
      </c>
      <c r="H42">
        <f>G42*12</f>
        <v>32292000</v>
      </c>
      <c r="I42">
        <v>61</v>
      </c>
      <c r="K42">
        <v>55</v>
      </c>
      <c r="L42" t="s">
        <v>17</v>
      </c>
    </row>
    <row r="43" spans="1:12" x14ac:dyDescent="0.25">
      <c r="A43" t="s">
        <v>77</v>
      </c>
      <c r="B43" t="s">
        <v>35</v>
      </c>
      <c r="C43" t="s">
        <v>74</v>
      </c>
      <c r="D43" t="s">
        <v>26</v>
      </c>
      <c r="E43" t="s">
        <v>16</v>
      </c>
      <c r="F43" s="1">
        <v>44964</v>
      </c>
      <c r="G43">
        <v>4743000</v>
      </c>
      <c r="H43">
        <f>G43*12</f>
        <v>56916000</v>
      </c>
      <c r="I43">
        <v>62</v>
      </c>
      <c r="J43">
        <v>4.1</v>
      </c>
      <c r="K43">
        <v>4</v>
      </c>
      <c r="L43" t="s">
        <v>17</v>
      </c>
    </row>
    <row r="44" spans="1:12" x14ac:dyDescent="0.25">
      <c r="A44" t="s">
        <v>78</v>
      </c>
      <c r="B44" t="s">
        <v>28</v>
      </c>
      <c r="C44" t="s">
        <v>29</v>
      </c>
      <c r="D44" t="s">
        <v>15</v>
      </c>
      <c r="E44" t="s">
        <v>21</v>
      </c>
      <c r="F44" s="1">
        <v>42548</v>
      </c>
      <c r="G44">
        <v>2283000</v>
      </c>
      <c r="H44">
        <f>G44*12</f>
        <v>27396000</v>
      </c>
      <c r="I44">
        <v>55</v>
      </c>
      <c r="J44">
        <v>4.5</v>
      </c>
      <c r="K44">
        <v>35</v>
      </c>
      <c r="L44" t="s">
        <v>17</v>
      </c>
    </row>
    <row r="45" spans="1:12" x14ac:dyDescent="0.25">
      <c r="A45" t="s">
        <v>79</v>
      </c>
      <c r="B45" t="s">
        <v>35</v>
      </c>
      <c r="C45" t="s">
        <v>36</v>
      </c>
      <c r="D45" t="s">
        <v>15</v>
      </c>
      <c r="E45" t="s">
        <v>33</v>
      </c>
      <c r="F45" s="1">
        <v>45791</v>
      </c>
      <c r="G45">
        <v>5556000</v>
      </c>
      <c r="H45">
        <f>G45*12</f>
        <v>66672000</v>
      </c>
      <c r="I45">
        <v>29</v>
      </c>
      <c r="J45">
        <v>3.8</v>
      </c>
      <c r="K45">
        <v>18</v>
      </c>
      <c r="L45" t="s">
        <v>17</v>
      </c>
    </row>
    <row r="46" spans="1:12" x14ac:dyDescent="0.25">
      <c r="A46" t="s">
        <v>80</v>
      </c>
      <c r="B46" t="s">
        <v>24</v>
      </c>
      <c r="C46" t="s">
        <v>43</v>
      </c>
      <c r="D46" t="s">
        <v>31</v>
      </c>
      <c r="E46" t="s">
        <v>16</v>
      </c>
      <c r="F46" s="1">
        <v>45373</v>
      </c>
      <c r="G46">
        <v>2318000</v>
      </c>
      <c r="H46">
        <f>G46*12</f>
        <v>27816000</v>
      </c>
      <c r="I46">
        <v>49</v>
      </c>
      <c r="J46">
        <v>3.9</v>
      </c>
      <c r="K46">
        <v>13</v>
      </c>
      <c r="L46" t="s">
        <v>17</v>
      </c>
    </row>
    <row r="47" spans="1:12" x14ac:dyDescent="0.25">
      <c r="A47" t="s">
        <v>81</v>
      </c>
      <c r="B47" t="s">
        <v>24</v>
      </c>
      <c r="C47" t="s">
        <v>25</v>
      </c>
      <c r="D47" t="s">
        <v>31</v>
      </c>
      <c r="E47" t="s">
        <v>21</v>
      </c>
      <c r="F47" s="1">
        <v>45028</v>
      </c>
      <c r="G47">
        <v>4450000</v>
      </c>
      <c r="H47">
        <f>G47*12</f>
        <v>53400000</v>
      </c>
      <c r="I47">
        <v>36</v>
      </c>
      <c r="J47">
        <v>4</v>
      </c>
      <c r="K47">
        <v>51</v>
      </c>
      <c r="L47" t="s">
        <v>17</v>
      </c>
    </row>
    <row r="48" spans="1:12" x14ac:dyDescent="0.25">
      <c r="A48" t="s">
        <v>82</v>
      </c>
      <c r="B48" t="s">
        <v>19</v>
      </c>
      <c r="C48" t="s">
        <v>20</v>
      </c>
      <c r="D48" t="s">
        <v>26</v>
      </c>
      <c r="E48" t="s">
        <v>33</v>
      </c>
      <c r="F48" s="1">
        <v>45978</v>
      </c>
      <c r="G48">
        <v>5381000</v>
      </c>
      <c r="H48">
        <f>G48*12</f>
        <v>64572000</v>
      </c>
      <c r="I48">
        <v>37</v>
      </c>
      <c r="J48">
        <v>3.9</v>
      </c>
      <c r="K48">
        <v>1</v>
      </c>
      <c r="L48" t="s">
        <v>17</v>
      </c>
    </row>
    <row r="49" spans="1:12" x14ac:dyDescent="0.25">
      <c r="A49" t="s">
        <v>83</v>
      </c>
      <c r="B49" t="s">
        <v>28</v>
      </c>
      <c r="C49" t="s">
        <v>29</v>
      </c>
      <c r="D49" t="s">
        <v>31</v>
      </c>
      <c r="E49" t="s">
        <v>21</v>
      </c>
      <c r="F49" s="1">
        <v>42901</v>
      </c>
      <c r="G49">
        <v>2243000</v>
      </c>
      <c r="H49">
        <f>G49*12</f>
        <v>26916000</v>
      </c>
      <c r="I49">
        <v>45</v>
      </c>
      <c r="J49">
        <v>4.2</v>
      </c>
      <c r="K49">
        <v>77</v>
      </c>
      <c r="L49" t="s">
        <v>69</v>
      </c>
    </row>
    <row r="50" spans="1:12" x14ac:dyDescent="0.25">
      <c r="A50" t="s">
        <v>84</v>
      </c>
      <c r="B50" t="s">
        <v>28</v>
      </c>
      <c r="C50" t="s">
        <v>56</v>
      </c>
      <c r="D50" t="s">
        <v>31</v>
      </c>
      <c r="E50" t="s">
        <v>16</v>
      </c>
      <c r="F50" s="1">
        <v>42749</v>
      </c>
      <c r="G50">
        <v>4578000</v>
      </c>
      <c r="H50">
        <f>G50*12</f>
        <v>54936000</v>
      </c>
      <c r="I50">
        <v>39</v>
      </c>
      <c r="J50">
        <v>4.3</v>
      </c>
      <c r="K50">
        <v>32</v>
      </c>
      <c r="L50" t="s">
        <v>17</v>
      </c>
    </row>
    <row r="51" spans="1:12" x14ac:dyDescent="0.25">
      <c r="A51" t="s">
        <v>85</v>
      </c>
      <c r="B51" t="s">
        <v>28</v>
      </c>
      <c r="C51" t="s">
        <v>56</v>
      </c>
      <c r="D51" t="s">
        <v>31</v>
      </c>
      <c r="E51" t="s">
        <v>21</v>
      </c>
      <c r="F51" s="1">
        <v>44057</v>
      </c>
      <c r="G51">
        <v>3873000</v>
      </c>
      <c r="H51">
        <f>G51*12</f>
        <v>46476000</v>
      </c>
      <c r="I51">
        <v>20</v>
      </c>
      <c r="J51">
        <v>4.2</v>
      </c>
      <c r="K51">
        <v>73</v>
      </c>
      <c r="L51" t="s">
        <v>17</v>
      </c>
    </row>
    <row r="52" spans="1:12" x14ac:dyDescent="0.25">
      <c r="A52" t="s">
        <v>86</v>
      </c>
      <c r="B52" t="s">
        <v>24</v>
      </c>
      <c r="C52" t="s">
        <v>43</v>
      </c>
      <c r="D52" t="s">
        <v>15</v>
      </c>
      <c r="E52" t="s">
        <v>16</v>
      </c>
      <c r="F52" s="1">
        <v>45749</v>
      </c>
      <c r="G52">
        <v>2104000</v>
      </c>
      <c r="H52">
        <f>G52*12</f>
        <v>25248000</v>
      </c>
      <c r="I52">
        <v>62</v>
      </c>
      <c r="J52">
        <v>5</v>
      </c>
      <c r="K52">
        <v>67</v>
      </c>
      <c r="L52" t="s">
        <v>17</v>
      </c>
    </row>
    <row r="53" spans="1:12" x14ac:dyDescent="0.25">
      <c r="A53" t="s">
        <v>87</v>
      </c>
      <c r="B53" t="s">
        <v>19</v>
      </c>
      <c r="C53" t="s">
        <v>46</v>
      </c>
      <c r="D53" t="s">
        <v>15</v>
      </c>
      <c r="E53" t="s">
        <v>21</v>
      </c>
      <c r="F53" s="1">
        <v>42008</v>
      </c>
      <c r="G53">
        <v>11539000</v>
      </c>
      <c r="H53">
        <f>G53*12</f>
        <v>138468000</v>
      </c>
      <c r="I53">
        <v>60</v>
      </c>
      <c r="J53">
        <v>3.8</v>
      </c>
      <c r="K53">
        <v>37</v>
      </c>
      <c r="L53" t="s">
        <v>17</v>
      </c>
    </row>
    <row r="54" spans="1:12" x14ac:dyDescent="0.25">
      <c r="A54" t="s">
        <v>88</v>
      </c>
      <c r="B54" t="s">
        <v>19</v>
      </c>
      <c r="C54" t="s">
        <v>38</v>
      </c>
      <c r="D54" t="s">
        <v>26</v>
      </c>
      <c r="E54" t="s">
        <v>21</v>
      </c>
      <c r="F54" s="1">
        <v>44076</v>
      </c>
      <c r="G54">
        <v>5671000</v>
      </c>
      <c r="H54">
        <f>G54*12</f>
        <v>68052000</v>
      </c>
      <c r="I54">
        <v>58</v>
      </c>
      <c r="J54">
        <v>4.4</v>
      </c>
      <c r="K54">
        <v>55</v>
      </c>
      <c r="L54" t="s">
        <v>17</v>
      </c>
    </row>
    <row r="55" spans="1:12" x14ac:dyDescent="0.25">
      <c r="A55" t="s">
        <v>89</v>
      </c>
      <c r="B55" t="s">
        <v>28</v>
      </c>
      <c r="C55" t="s">
        <v>29</v>
      </c>
      <c r="D55" t="s">
        <v>15</v>
      </c>
      <c r="E55" t="s">
        <v>21</v>
      </c>
      <c r="F55" s="1">
        <v>42693</v>
      </c>
      <c r="G55">
        <v>2374000</v>
      </c>
      <c r="H55">
        <f>G55*12</f>
        <v>28488000</v>
      </c>
      <c r="I55">
        <v>31</v>
      </c>
      <c r="J55">
        <v>4.4</v>
      </c>
      <c r="K55">
        <v>18</v>
      </c>
      <c r="L55" t="s">
        <v>17</v>
      </c>
    </row>
    <row r="56" spans="1:12" x14ac:dyDescent="0.25">
      <c r="A56" t="s">
        <v>90</v>
      </c>
      <c r="B56" t="s">
        <v>24</v>
      </c>
      <c r="C56" t="s">
        <v>25</v>
      </c>
      <c r="D56" t="s">
        <v>31</v>
      </c>
      <c r="E56" t="s">
        <v>16</v>
      </c>
      <c r="F56" s="1">
        <v>42699</v>
      </c>
      <c r="G56">
        <v>5305000</v>
      </c>
      <c r="H56">
        <f>G56*12</f>
        <v>63660000</v>
      </c>
      <c r="I56">
        <v>41</v>
      </c>
      <c r="J56">
        <v>4.1</v>
      </c>
      <c r="K56">
        <v>69</v>
      </c>
      <c r="L56" t="s">
        <v>17</v>
      </c>
    </row>
    <row r="57" spans="1:12" x14ac:dyDescent="0.25">
      <c r="A57" t="s">
        <v>91</v>
      </c>
      <c r="B57" t="s">
        <v>28</v>
      </c>
      <c r="C57" t="s">
        <v>29</v>
      </c>
      <c r="D57" t="s">
        <v>15</v>
      </c>
      <c r="E57" t="s">
        <v>21</v>
      </c>
      <c r="F57" s="1">
        <v>43825</v>
      </c>
      <c r="G57">
        <v>2043000</v>
      </c>
      <c r="H57">
        <f>G57*12</f>
        <v>24516000</v>
      </c>
      <c r="I57">
        <v>24</v>
      </c>
      <c r="J57">
        <v>3.5</v>
      </c>
      <c r="K57">
        <v>10</v>
      </c>
      <c r="L57" t="s">
        <v>17</v>
      </c>
    </row>
    <row r="58" spans="1:12" x14ac:dyDescent="0.25">
      <c r="A58" t="s">
        <v>92</v>
      </c>
      <c r="B58" t="s">
        <v>19</v>
      </c>
      <c r="C58" t="s">
        <v>20</v>
      </c>
      <c r="D58" t="s">
        <v>15</v>
      </c>
      <c r="E58" t="s">
        <v>21</v>
      </c>
      <c r="F58" s="1">
        <v>43455</v>
      </c>
      <c r="G58">
        <v>6186000</v>
      </c>
      <c r="H58">
        <f>G58*12</f>
        <v>74232000</v>
      </c>
      <c r="I58">
        <v>30</v>
      </c>
      <c r="J58">
        <v>3.9</v>
      </c>
      <c r="K58">
        <v>16</v>
      </c>
      <c r="L58" t="s">
        <v>17</v>
      </c>
    </row>
    <row r="59" spans="1:12" x14ac:dyDescent="0.25">
      <c r="A59" t="s">
        <v>93</v>
      </c>
      <c r="B59" t="s">
        <v>35</v>
      </c>
      <c r="C59" t="s">
        <v>36</v>
      </c>
      <c r="D59" t="s">
        <v>26</v>
      </c>
      <c r="E59" t="s">
        <v>16</v>
      </c>
      <c r="F59" s="1">
        <v>41197</v>
      </c>
      <c r="G59">
        <v>7190000</v>
      </c>
      <c r="H59">
        <f>G59*12</f>
        <v>86280000</v>
      </c>
      <c r="I59">
        <v>56</v>
      </c>
      <c r="J59">
        <v>3.6</v>
      </c>
      <c r="K59">
        <v>39</v>
      </c>
      <c r="L59" t="s">
        <v>17</v>
      </c>
    </row>
    <row r="60" spans="1:12" x14ac:dyDescent="0.25">
      <c r="A60" t="s">
        <v>94</v>
      </c>
      <c r="B60" t="s">
        <v>35</v>
      </c>
      <c r="C60" t="s">
        <v>36</v>
      </c>
      <c r="D60" t="s">
        <v>26</v>
      </c>
      <c r="E60" t="s">
        <v>16</v>
      </c>
      <c r="F60" s="1">
        <v>44562</v>
      </c>
      <c r="G60">
        <v>5605000</v>
      </c>
      <c r="H60">
        <f>G60*12</f>
        <v>67260000</v>
      </c>
      <c r="I60">
        <v>34</v>
      </c>
      <c r="J60">
        <v>4.4</v>
      </c>
      <c r="K60">
        <v>64</v>
      </c>
      <c r="L60" t="s">
        <v>17</v>
      </c>
    </row>
    <row r="61" spans="1:12" x14ac:dyDescent="0.25">
      <c r="A61" t="s">
        <v>95</v>
      </c>
      <c r="B61" t="s">
        <v>19</v>
      </c>
      <c r="C61" t="s">
        <v>20</v>
      </c>
      <c r="D61" t="s">
        <v>26</v>
      </c>
      <c r="E61" t="s">
        <v>21</v>
      </c>
      <c r="F61" s="1">
        <v>42446</v>
      </c>
      <c r="G61">
        <v>6911000</v>
      </c>
      <c r="H61">
        <f>G61*12</f>
        <v>82932000</v>
      </c>
      <c r="I61">
        <v>60</v>
      </c>
      <c r="J61">
        <v>4.1</v>
      </c>
      <c r="K61">
        <v>17</v>
      </c>
      <c r="L61" t="s">
        <v>17</v>
      </c>
    </row>
    <row r="62" spans="1:12" x14ac:dyDescent="0.25">
      <c r="A62" t="s">
        <v>96</v>
      </c>
      <c r="B62" t="s">
        <v>28</v>
      </c>
      <c r="C62" t="s">
        <v>56</v>
      </c>
      <c r="D62" t="s">
        <v>26</v>
      </c>
      <c r="E62" t="s">
        <v>33</v>
      </c>
      <c r="F62" s="1">
        <v>45183</v>
      </c>
      <c r="G62">
        <v>3739000</v>
      </c>
      <c r="H62">
        <f>G62*12</f>
        <v>44868000</v>
      </c>
      <c r="I62">
        <v>50</v>
      </c>
      <c r="J62">
        <v>5</v>
      </c>
      <c r="K62">
        <v>55</v>
      </c>
      <c r="L62" t="s">
        <v>17</v>
      </c>
    </row>
    <row r="63" spans="1:12" x14ac:dyDescent="0.25">
      <c r="A63" t="s">
        <v>97</v>
      </c>
      <c r="B63" t="s">
        <v>24</v>
      </c>
      <c r="C63" t="s">
        <v>43</v>
      </c>
      <c r="D63" t="s">
        <v>31</v>
      </c>
      <c r="E63" t="s">
        <v>21</v>
      </c>
      <c r="F63" s="1">
        <v>41581</v>
      </c>
      <c r="G63">
        <v>2625000</v>
      </c>
      <c r="H63">
        <f>G63*12</f>
        <v>31500000</v>
      </c>
      <c r="I63">
        <v>20</v>
      </c>
      <c r="J63">
        <v>3.7</v>
      </c>
      <c r="K63">
        <v>43</v>
      </c>
      <c r="L63" t="s">
        <v>17</v>
      </c>
    </row>
    <row r="64" spans="1:12" x14ac:dyDescent="0.25">
      <c r="A64" t="s">
        <v>98</v>
      </c>
      <c r="B64" t="s">
        <v>24</v>
      </c>
      <c r="C64" t="s">
        <v>25</v>
      </c>
      <c r="D64" t="s">
        <v>26</v>
      </c>
      <c r="E64" t="s">
        <v>16</v>
      </c>
      <c r="F64" s="1">
        <v>42584</v>
      </c>
      <c r="G64">
        <v>5091000</v>
      </c>
      <c r="H64">
        <f>G64*12</f>
        <v>61092000</v>
      </c>
      <c r="I64">
        <v>36</v>
      </c>
      <c r="J64">
        <v>4.3</v>
      </c>
      <c r="K64">
        <v>64</v>
      </c>
      <c r="L64" t="s">
        <v>17</v>
      </c>
    </row>
    <row r="65" spans="1:12" x14ac:dyDescent="0.25">
      <c r="A65" t="s">
        <v>99</v>
      </c>
      <c r="B65" t="s">
        <v>13</v>
      </c>
      <c r="C65" t="s">
        <v>54</v>
      </c>
      <c r="D65" t="s">
        <v>15</v>
      </c>
      <c r="E65" t="s">
        <v>33</v>
      </c>
      <c r="F65" s="1">
        <v>45925</v>
      </c>
      <c r="G65">
        <v>3993000</v>
      </c>
      <c r="H65">
        <f>G65*12</f>
        <v>47916000</v>
      </c>
      <c r="I65">
        <v>45</v>
      </c>
      <c r="J65">
        <v>3.8</v>
      </c>
      <c r="K65">
        <v>30</v>
      </c>
      <c r="L65" t="s">
        <v>17</v>
      </c>
    </row>
    <row r="66" spans="1:12" x14ac:dyDescent="0.25">
      <c r="A66" t="s">
        <v>100</v>
      </c>
      <c r="B66" t="s">
        <v>35</v>
      </c>
      <c r="C66" t="s">
        <v>36</v>
      </c>
      <c r="D66" t="s">
        <v>31</v>
      </c>
      <c r="E66" t="s">
        <v>21</v>
      </c>
      <c r="F66" s="1">
        <v>44044</v>
      </c>
      <c r="G66">
        <v>5754000</v>
      </c>
      <c r="H66">
        <f>G66*12</f>
        <v>69048000</v>
      </c>
      <c r="I66">
        <v>25</v>
      </c>
      <c r="J66">
        <v>4.5</v>
      </c>
      <c r="K66">
        <v>60</v>
      </c>
      <c r="L66" t="s">
        <v>17</v>
      </c>
    </row>
    <row r="67" spans="1:12" x14ac:dyDescent="0.25">
      <c r="A67" t="s">
        <v>101</v>
      </c>
      <c r="B67" t="s">
        <v>19</v>
      </c>
      <c r="C67" t="s">
        <v>38</v>
      </c>
      <c r="D67" t="s">
        <v>15</v>
      </c>
      <c r="E67" t="s">
        <v>21</v>
      </c>
      <c r="F67" s="1">
        <v>45144</v>
      </c>
      <c r="G67">
        <v>5504000</v>
      </c>
      <c r="H67">
        <f>G67*12</f>
        <v>66048000</v>
      </c>
      <c r="I67">
        <v>47</v>
      </c>
      <c r="J67">
        <v>4.7</v>
      </c>
      <c r="K67">
        <v>43</v>
      </c>
      <c r="L67" t="s">
        <v>17</v>
      </c>
    </row>
    <row r="68" spans="1:12" x14ac:dyDescent="0.25">
      <c r="A68" t="s">
        <v>102</v>
      </c>
      <c r="B68" t="s">
        <v>28</v>
      </c>
      <c r="C68" t="s">
        <v>29</v>
      </c>
      <c r="D68" t="s">
        <v>26</v>
      </c>
      <c r="E68" t="s">
        <v>16</v>
      </c>
      <c r="F68" s="1">
        <v>43698</v>
      </c>
      <c r="G68">
        <v>2149000</v>
      </c>
      <c r="H68">
        <f>G68*12</f>
        <v>25788000</v>
      </c>
      <c r="I68">
        <v>60</v>
      </c>
      <c r="J68">
        <v>3.9</v>
      </c>
      <c r="K68">
        <v>45</v>
      </c>
      <c r="L68" t="s">
        <v>17</v>
      </c>
    </row>
    <row r="69" spans="1:12" x14ac:dyDescent="0.25">
      <c r="A69" t="s">
        <v>103</v>
      </c>
      <c r="B69" t="s">
        <v>24</v>
      </c>
      <c r="C69" t="s">
        <v>43</v>
      </c>
      <c r="D69" t="s">
        <v>15</v>
      </c>
      <c r="E69" t="s">
        <v>33</v>
      </c>
      <c r="F69" s="1">
        <v>44960</v>
      </c>
      <c r="G69">
        <v>2243000</v>
      </c>
      <c r="H69">
        <f>G69*12</f>
        <v>26916000</v>
      </c>
      <c r="I69">
        <v>50</v>
      </c>
      <c r="J69">
        <v>5</v>
      </c>
      <c r="K69">
        <v>76</v>
      </c>
      <c r="L69" t="s">
        <v>17</v>
      </c>
    </row>
    <row r="70" spans="1:12" x14ac:dyDescent="0.25">
      <c r="A70" t="s">
        <v>104</v>
      </c>
      <c r="B70" t="s">
        <v>19</v>
      </c>
      <c r="C70" t="s">
        <v>38</v>
      </c>
      <c r="D70" t="s">
        <v>31</v>
      </c>
      <c r="E70" t="s">
        <v>33</v>
      </c>
      <c r="F70" s="1">
        <v>44565</v>
      </c>
      <c r="G70">
        <v>5262000</v>
      </c>
      <c r="H70">
        <f>G70*12</f>
        <v>63144000</v>
      </c>
      <c r="I70">
        <v>23</v>
      </c>
      <c r="J70">
        <v>5</v>
      </c>
      <c r="K70">
        <v>63</v>
      </c>
      <c r="L70" t="s">
        <v>17</v>
      </c>
    </row>
    <row r="71" spans="1:12" x14ac:dyDescent="0.25">
      <c r="A71" t="s">
        <v>105</v>
      </c>
      <c r="B71" t="s">
        <v>35</v>
      </c>
      <c r="C71" t="s">
        <v>74</v>
      </c>
      <c r="D71" t="s">
        <v>31</v>
      </c>
      <c r="E71" t="s">
        <v>16</v>
      </c>
      <c r="F71" s="1">
        <v>43596</v>
      </c>
      <c r="G71">
        <v>5111000</v>
      </c>
      <c r="H71">
        <f>G71*12</f>
        <v>61332000</v>
      </c>
      <c r="I71">
        <v>38</v>
      </c>
      <c r="J71">
        <v>4</v>
      </c>
      <c r="K71">
        <v>34</v>
      </c>
      <c r="L71" t="s">
        <v>17</v>
      </c>
    </row>
    <row r="72" spans="1:12" x14ac:dyDescent="0.25">
      <c r="A72" t="s">
        <v>106</v>
      </c>
      <c r="B72" t="s">
        <v>24</v>
      </c>
      <c r="C72" t="s">
        <v>25</v>
      </c>
      <c r="D72" t="s">
        <v>26</v>
      </c>
      <c r="E72" t="s">
        <v>21</v>
      </c>
      <c r="F72" s="1">
        <v>43827</v>
      </c>
      <c r="G72">
        <v>4531000</v>
      </c>
      <c r="H72">
        <f>G72*12</f>
        <v>54372000</v>
      </c>
      <c r="I72">
        <v>21</v>
      </c>
      <c r="J72">
        <v>4.3</v>
      </c>
      <c r="K72">
        <v>26</v>
      </c>
      <c r="L72" t="s">
        <v>17</v>
      </c>
    </row>
    <row r="73" spans="1:12" x14ac:dyDescent="0.25">
      <c r="A73" t="s">
        <v>107</v>
      </c>
      <c r="B73" t="s">
        <v>28</v>
      </c>
      <c r="C73" t="s">
        <v>56</v>
      </c>
      <c r="D73" t="s">
        <v>15</v>
      </c>
      <c r="E73" t="s">
        <v>16</v>
      </c>
      <c r="F73" s="1">
        <v>42253</v>
      </c>
      <c r="G73">
        <v>4283000</v>
      </c>
      <c r="H73">
        <f>G73*12</f>
        <v>51396000</v>
      </c>
      <c r="I73">
        <v>62</v>
      </c>
      <c r="J73">
        <v>5</v>
      </c>
      <c r="K73">
        <v>77</v>
      </c>
      <c r="L73" t="s">
        <v>17</v>
      </c>
    </row>
    <row r="74" spans="1:12" x14ac:dyDescent="0.25">
      <c r="A74" t="s">
        <v>108</v>
      </c>
      <c r="B74" t="s">
        <v>35</v>
      </c>
      <c r="C74" t="s">
        <v>74</v>
      </c>
      <c r="D74" t="s">
        <v>15</v>
      </c>
      <c r="E74" t="s">
        <v>21</v>
      </c>
      <c r="F74" s="1">
        <v>41836</v>
      </c>
      <c r="G74">
        <v>5519000</v>
      </c>
      <c r="H74">
        <f>G74*12</f>
        <v>66228000</v>
      </c>
      <c r="I74">
        <v>55</v>
      </c>
      <c r="J74">
        <v>3</v>
      </c>
      <c r="K74">
        <v>16</v>
      </c>
      <c r="L74" t="s">
        <v>17</v>
      </c>
    </row>
    <row r="75" spans="1:12" x14ac:dyDescent="0.25">
      <c r="A75" t="s">
        <v>109</v>
      </c>
      <c r="B75" t="s">
        <v>24</v>
      </c>
      <c r="C75" t="s">
        <v>43</v>
      </c>
      <c r="D75" t="s">
        <v>26</v>
      </c>
      <c r="E75" t="s">
        <v>21</v>
      </c>
      <c r="F75" s="1">
        <v>41460</v>
      </c>
      <c r="G75">
        <v>2796000</v>
      </c>
      <c r="H75">
        <f>G75*12</f>
        <v>33552000</v>
      </c>
      <c r="I75">
        <v>36</v>
      </c>
      <c r="J75">
        <v>3</v>
      </c>
      <c r="K75">
        <v>6</v>
      </c>
      <c r="L75" t="s">
        <v>17</v>
      </c>
    </row>
    <row r="76" spans="1:12" x14ac:dyDescent="0.25">
      <c r="A76" t="s">
        <v>110</v>
      </c>
      <c r="B76" t="s">
        <v>35</v>
      </c>
      <c r="C76" t="s">
        <v>74</v>
      </c>
      <c r="D76" t="s">
        <v>31</v>
      </c>
      <c r="E76" t="s">
        <v>21</v>
      </c>
      <c r="F76" s="1">
        <v>40972</v>
      </c>
      <c r="G76">
        <v>5717000</v>
      </c>
      <c r="H76">
        <f>G76*12</f>
        <v>68604000</v>
      </c>
      <c r="I76">
        <v>22</v>
      </c>
      <c r="J76">
        <v>4.7</v>
      </c>
      <c r="K76">
        <v>63</v>
      </c>
      <c r="L76" t="s">
        <v>17</v>
      </c>
    </row>
    <row r="77" spans="1:12" x14ac:dyDescent="0.25">
      <c r="A77" t="s">
        <v>111</v>
      </c>
      <c r="B77" t="s">
        <v>19</v>
      </c>
      <c r="C77" t="s">
        <v>20</v>
      </c>
      <c r="D77" t="s">
        <v>26</v>
      </c>
      <c r="E77" t="s">
        <v>16</v>
      </c>
      <c r="F77" s="1">
        <v>44692</v>
      </c>
      <c r="G77">
        <v>5824000</v>
      </c>
      <c r="H77">
        <f>G77*12</f>
        <v>69888000</v>
      </c>
      <c r="I77">
        <v>34</v>
      </c>
      <c r="J77">
        <v>3.9</v>
      </c>
      <c r="K77">
        <v>56</v>
      </c>
      <c r="L77" t="s">
        <v>17</v>
      </c>
    </row>
    <row r="78" spans="1:12" x14ac:dyDescent="0.25">
      <c r="A78" t="s">
        <v>112</v>
      </c>
      <c r="B78" t="s">
        <v>24</v>
      </c>
      <c r="C78" t="s">
        <v>43</v>
      </c>
      <c r="D78" t="s">
        <v>26</v>
      </c>
      <c r="E78" t="s">
        <v>16</v>
      </c>
      <c r="F78" s="1">
        <v>43962</v>
      </c>
      <c r="G78">
        <v>2487000</v>
      </c>
      <c r="H78">
        <f>G78*12</f>
        <v>29844000</v>
      </c>
      <c r="I78">
        <v>34</v>
      </c>
      <c r="J78">
        <v>4.2</v>
      </c>
      <c r="K78">
        <v>39</v>
      </c>
      <c r="L78" t="s">
        <v>17</v>
      </c>
    </row>
    <row r="79" spans="1:12" x14ac:dyDescent="0.25">
      <c r="A79" t="s">
        <v>113</v>
      </c>
      <c r="B79" t="s">
        <v>28</v>
      </c>
      <c r="C79" t="s">
        <v>29</v>
      </c>
      <c r="D79" t="s">
        <v>26</v>
      </c>
      <c r="E79" t="s">
        <v>16</v>
      </c>
      <c r="F79" s="1">
        <v>44699</v>
      </c>
      <c r="G79">
        <v>2033000</v>
      </c>
      <c r="H79">
        <f>G79*12</f>
        <v>24396000</v>
      </c>
      <c r="I79">
        <v>31</v>
      </c>
      <c r="J79">
        <v>4.7</v>
      </c>
      <c r="K79">
        <v>42</v>
      </c>
      <c r="L79" t="s">
        <v>17</v>
      </c>
    </row>
    <row r="80" spans="1:12" x14ac:dyDescent="0.25">
      <c r="A80" t="s">
        <v>114</v>
      </c>
      <c r="B80" t="s">
        <v>19</v>
      </c>
      <c r="C80" t="s">
        <v>38</v>
      </c>
      <c r="D80" t="s">
        <v>26</v>
      </c>
      <c r="E80" t="s">
        <v>16</v>
      </c>
      <c r="F80" s="1">
        <v>43742</v>
      </c>
      <c r="G80">
        <v>6142000</v>
      </c>
      <c r="H80">
        <f>G80*12</f>
        <v>73704000</v>
      </c>
      <c r="I80">
        <v>24</v>
      </c>
      <c r="J80">
        <v>3</v>
      </c>
      <c r="K80">
        <v>13</v>
      </c>
      <c r="L80" t="s">
        <v>17</v>
      </c>
    </row>
    <row r="81" spans="1:12" x14ac:dyDescent="0.25">
      <c r="A81" t="s">
        <v>115</v>
      </c>
      <c r="B81" t="s">
        <v>35</v>
      </c>
      <c r="C81" t="s">
        <v>36</v>
      </c>
      <c r="D81" t="s">
        <v>31</v>
      </c>
      <c r="E81" t="s">
        <v>33</v>
      </c>
      <c r="F81" s="1">
        <v>45927</v>
      </c>
      <c r="G81">
        <v>5197000</v>
      </c>
      <c r="H81">
        <f>G81*12</f>
        <v>62364000</v>
      </c>
      <c r="I81">
        <v>28</v>
      </c>
      <c r="J81">
        <v>3.5</v>
      </c>
      <c r="K81">
        <v>2</v>
      </c>
      <c r="L81" t="s">
        <v>17</v>
      </c>
    </row>
    <row r="82" spans="1:12" x14ac:dyDescent="0.25">
      <c r="A82" t="s">
        <v>116</v>
      </c>
      <c r="B82" t="s">
        <v>24</v>
      </c>
      <c r="C82" t="s">
        <v>25</v>
      </c>
      <c r="D82" t="s">
        <v>26</v>
      </c>
      <c r="E82" t="s">
        <v>33</v>
      </c>
      <c r="F82" s="1">
        <v>44633</v>
      </c>
      <c r="G82">
        <v>4730000</v>
      </c>
      <c r="H82">
        <f>G82*12</f>
        <v>56760000</v>
      </c>
      <c r="I82">
        <v>51</v>
      </c>
      <c r="J82">
        <v>3.4</v>
      </c>
      <c r="K82">
        <v>26</v>
      </c>
      <c r="L82" t="s">
        <v>69</v>
      </c>
    </row>
    <row r="83" spans="1:12" x14ac:dyDescent="0.25">
      <c r="A83" t="s">
        <v>117</v>
      </c>
      <c r="B83" t="s">
        <v>24</v>
      </c>
      <c r="C83" t="s">
        <v>43</v>
      </c>
      <c r="D83" t="s">
        <v>26</v>
      </c>
      <c r="E83" t="s">
        <v>16</v>
      </c>
      <c r="F83" s="1">
        <v>44563</v>
      </c>
      <c r="G83">
        <v>2307000</v>
      </c>
      <c r="H83">
        <f>G83*12</f>
        <v>27684000</v>
      </c>
      <c r="I83">
        <v>33</v>
      </c>
      <c r="K83">
        <v>17</v>
      </c>
      <c r="L83" t="s">
        <v>69</v>
      </c>
    </row>
    <row r="84" spans="1:12" x14ac:dyDescent="0.25">
      <c r="A84" t="s">
        <v>118</v>
      </c>
      <c r="B84" t="s">
        <v>19</v>
      </c>
      <c r="C84" t="s">
        <v>38</v>
      </c>
      <c r="D84" t="s">
        <v>26</v>
      </c>
      <c r="E84" t="s">
        <v>33</v>
      </c>
      <c r="F84" s="1">
        <v>43421</v>
      </c>
      <c r="G84">
        <v>6038000</v>
      </c>
      <c r="H84">
        <f>G84*12</f>
        <v>72456000</v>
      </c>
      <c r="I84">
        <v>21</v>
      </c>
      <c r="J84">
        <v>4.5</v>
      </c>
      <c r="K84">
        <v>67</v>
      </c>
      <c r="L84" t="s">
        <v>17</v>
      </c>
    </row>
    <row r="85" spans="1:12" x14ac:dyDescent="0.25">
      <c r="A85" t="s">
        <v>119</v>
      </c>
      <c r="B85" t="s">
        <v>28</v>
      </c>
      <c r="C85" t="s">
        <v>29</v>
      </c>
      <c r="D85" t="s">
        <v>26</v>
      </c>
      <c r="E85" t="s">
        <v>21</v>
      </c>
      <c r="F85" s="1">
        <v>41623</v>
      </c>
      <c r="G85">
        <v>2232000</v>
      </c>
      <c r="H85">
        <f>G85*12</f>
        <v>26784000</v>
      </c>
      <c r="I85">
        <v>41</v>
      </c>
      <c r="J85">
        <v>4.6</v>
      </c>
      <c r="K85">
        <v>51</v>
      </c>
      <c r="L85" t="s">
        <v>17</v>
      </c>
    </row>
    <row r="86" spans="1:12" x14ac:dyDescent="0.25">
      <c r="A86" t="s">
        <v>120</v>
      </c>
      <c r="B86" t="s">
        <v>28</v>
      </c>
      <c r="C86" t="s">
        <v>56</v>
      </c>
      <c r="D86" t="s">
        <v>31</v>
      </c>
      <c r="E86" t="s">
        <v>16</v>
      </c>
      <c r="F86" s="1">
        <v>41168</v>
      </c>
      <c r="G86">
        <v>4945000</v>
      </c>
      <c r="H86">
        <f>G86*12</f>
        <v>59340000</v>
      </c>
      <c r="I86">
        <v>29</v>
      </c>
      <c r="J86">
        <v>4</v>
      </c>
      <c r="K86">
        <v>48</v>
      </c>
      <c r="L86" t="s">
        <v>17</v>
      </c>
    </row>
    <row r="87" spans="1:12" x14ac:dyDescent="0.25">
      <c r="A87" t="s">
        <v>121</v>
      </c>
      <c r="B87" t="s">
        <v>24</v>
      </c>
      <c r="C87" t="s">
        <v>25</v>
      </c>
      <c r="D87" t="s">
        <v>26</v>
      </c>
      <c r="E87" t="s">
        <v>33</v>
      </c>
      <c r="F87" s="1">
        <v>42466</v>
      </c>
      <c r="G87">
        <v>4871000</v>
      </c>
      <c r="H87">
        <f>G87*12</f>
        <v>58452000</v>
      </c>
      <c r="I87">
        <v>38</v>
      </c>
      <c r="J87">
        <v>4.5</v>
      </c>
      <c r="K87">
        <v>49</v>
      </c>
      <c r="L87" t="s">
        <v>17</v>
      </c>
    </row>
    <row r="88" spans="1:12" x14ac:dyDescent="0.25">
      <c r="A88" t="s">
        <v>122</v>
      </c>
      <c r="B88" t="s">
        <v>24</v>
      </c>
      <c r="C88" t="s">
        <v>43</v>
      </c>
      <c r="D88" t="s">
        <v>31</v>
      </c>
      <c r="E88" t="s">
        <v>21</v>
      </c>
      <c r="F88" s="1">
        <v>42029</v>
      </c>
      <c r="G88">
        <v>2810000</v>
      </c>
      <c r="H88">
        <f>G88*12</f>
        <v>33720000</v>
      </c>
      <c r="I88">
        <v>59</v>
      </c>
      <c r="J88">
        <v>3.9</v>
      </c>
      <c r="K88">
        <v>57</v>
      </c>
      <c r="L88" t="s">
        <v>17</v>
      </c>
    </row>
    <row r="89" spans="1:12" x14ac:dyDescent="0.25">
      <c r="A89" t="s">
        <v>123</v>
      </c>
      <c r="B89" t="s">
        <v>19</v>
      </c>
      <c r="C89" t="s">
        <v>20</v>
      </c>
      <c r="D89" t="s">
        <v>15</v>
      </c>
      <c r="E89" t="s">
        <v>21</v>
      </c>
      <c r="F89" s="1">
        <v>41427</v>
      </c>
      <c r="G89">
        <v>6825000</v>
      </c>
      <c r="H89">
        <f>G89*12</f>
        <v>81900000</v>
      </c>
      <c r="I89">
        <v>56</v>
      </c>
      <c r="J89">
        <v>3</v>
      </c>
      <c r="K89">
        <v>2</v>
      </c>
      <c r="L89" t="s">
        <v>17</v>
      </c>
    </row>
    <row r="90" spans="1:12" x14ac:dyDescent="0.25">
      <c r="A90" t="s">
        <v>124</v>
      </c>
      <c r="B90" t="s">
        <v>35</v>
      </c>
      <c r="C90" t="s">
        <v>36</v>
      </c>
      <c r="D90" t="s">
        <v>31</v>
      </c>
      <c r="E90" t="s">
        <v>21</v>
      </c>
      <c r="F90" s="1">
        <v>45592</v>
      </c>
      <c r="G90">
        <v>5043000</v>
      </c>
      <c r="H90">
        <f>G90*12</f>
        <v>60516000</v>
      </c>
      <c r="I90">
        <v>57</v>
      </c>
      <c r="J90">
        <v>3.8</v>
      </c>
      <c r="K90">
        <v>20</v>
      </c>
      <c r="L90" t="s">
        <v>17</v>
      </c>
    </row>
    <row r="91" spans="1:12" x14ac:dyDescent="0.25">
      <c r="A91" t="s">
        <v>125</v>
      </c>
      <c r="B91" t="s">
        <v>24</v>
      </c>
      <c r="C91" t="s">
        <v>25</v>
      </c>
      <c r="D91" t="s">
        <v>26</v>
      </c>
      <c r="E91" t="s">
        <v>16</v>
      </c>
      <c r="F91" s="1">
        <v>44155</v>
      </c>
      <c r="G91">
        <v>4477000</v>
      </c>
      <c r="H91">
        <f>G91*12</f>
        <v>53724000</v>
      </c>
      <c r="I91">
        <v>31</v>
      </c>
      <c r="J91">
        <v>4.3</v>
      </c>
      <c r="K91">
        <v>58</v>
      </c>
      <c r="L91" t="s">
        <v>17</v>
      </c>
    </row>
    <row r="92" spans="1:12" x14ac:dyDescent="0.25">
      <c r="A92" t="s">
        <v>126</v>
      </c>
      <c r="B92" t="s">
        <v>24</v>
      </c>
      <c r="C92" t="s">
        <v>25</v>
      </c>
      <c r="D92" t="s">
        <v>15</v>
      </c>
      <c r="E92" t="s">
        <v>21</v>
      </c>
      <c r="F92" s="1">
        <v>43032</v>
      </c>
      <c r="G92">
        <v>4835000</v>
      </c>
      <c r="H92">
        <f>G92*12</f>
        <v>58020000</v>
      </c>
      <c r="I92">
        <v>35</v>
      </c>
      <c r="J92">
        <v>5</v>
      </c>
      <c r="K92">
        <v>71</v>
      </c>
      <c r="L92" t="s">
        <v>69</v>
      </c>
    </row>
    <row r="93" spans="1:12" x14ac:dyDescent="0.25">
      <c r="A93" t="s">
        <v>127</v>
      </c>
      <c r="B93" t="s">
        <v>19</v>
      </c>
      <c r="C93" t="s">
        <v>20</v>
      </c>
      <c r="D93" t="s">
        <v>15</v>
      </c>
      <c r="E93" t="s">
        <v>16</v>
      </c>
      <c r="F93" s="1">
        <v>41087</v>
      </c>
      <c r="G93">
        <v>7107000</v>
      </c>
      <c r="H93">
        <f>G93*12</f>
        <v>85284000</v>
      </c>
      <c r="I93">
        <v>31</v>
      </c>
      <c r="J93">
        <v>5</v>
      </c>
      <c r="K93">
        <v>70</v>
      </c>
      <c r="L93" t="s">
        <v>17</v>
      </c>
    </row>
    <row r="94" spans="1:12" x14ac:dyDescent="0.25">
      <c r="A94" t="s">
        <v>128</v>
      </c>
      <c r="B94" t="s">
        <v>13</v>
      </c>
      <c r="C94" t="s">
        <v>14</v>
      </c>
      <c r="D94" t="s">
        <v>26</v>
      </c>
      <c r="E94" t="s">
        <v>21</v>
      </c>
      <c r="F94" s="1">
        <v>43202</v>
      </c>
      <c r="G94">
        <v>3691000</v>
      </c>
      <c r="H94">
        <f>G94*12</f>
        <v>44292000</v>
      </c>
      <c r="I94">
        <v>56</v>
      </c>
      <c r="J94">
        <v>4.5</v>
      </c>
      <c r="K94">
        <v>50</v>
      </c>
      <c r="L94" t="s">
        <v>17</v>
      </c>
    </row>
    <row r="95" spans="1:12" x14ac:dyDescent="0.25">
      <c r="A95" t="s">
        <v>129</v>
      </c>
      <c r="B95" t="s">
        <v>19</v>
      </c>
      <c r="C95" t="s">
        <v>38</v>
      </c>
      <c r="D95" t="s">
        <v>26</v>
      </c>
      <c r="E95" t="s">
        <v>33</v>
      </c>
      <c r="F95" s="1">
        <v>41778</v>
      </c>
      <c r="G95">
        <v>6029000</v>
      </c>
      <c r="H95">
        <f>G95*12</f>
        <v>72348000</v>
      </c>
      <c r="I95">
        <v>39</v>
      </c>
      <c r="J95">
        <v>4.3</v>
      </c>
      <c r="K95">
        <v>32</v>
      </c>
      <c r="L95" t="s">
        <v>17</v>
      </c>
    </row>
    <row r="96" spans="1:12" x14ac:dyDescent="0.25">
      <c r="A96" t="s">
        <v>130</v>
      </c>
      <c r="B96" t="s">
        <v>13</v>
      </c>
      <c r="C96" t="s">
        <v>54</v>
      </c>
      <c r="D96" t="s">
        <v>26</v>
      </c>
      <c r="E96" t="s">
        <v>21</v>
      </c>
      <c r="F96" s="1">
        <v>44143</v>
      </c>
      <c r="G96">
        <v>4395000</v>
      </c>
      <c r="H96">
        <f>G96*12</f>
        <v>52740000</v>
      </c>
      <c r="I96">
        <v>44</v>
      </c>
      <c r="J96">
        <v>4.4</v>
      </c>
      <c r="K96">
        <v>36</v>
      </c>
      <c r="L96" t="s">
        <v>17</v>
      </c>
    </row>
    <row r="97" spans="1:12" x14ac:dyDescent="0.25">
      <c r="A97" t="s">
        <v>131</v>
      </c>
      <c r="B97" t="s">
        <v>24</v>
      </c>
      <c r="C97" t="s">
        <v>25</v>
      </c>
      <c r="D97" t="s">
        <v>15</v>
      </c>
      <c r="E97" t="s">
        <v>33</v>
      </c>
      <c r="F97" s="1">
        <v>43450</v>
      </c>
      <c r="G97">
        <v>5032000</v>
      </c>
      <c r="H97">
        <f>G97*12</f>
        <v>60384000</v>
      </c>
      <c r="I97">
        <v>48</v>
      </c>
      <c r="J97">
        <v>4.9</v>
      </c>
      <c r="K97">
        <v>62</v>
      </c>
      <c r="L97" t="s">
        <v>17</v>
      </c>
    </row>
    <row r="98" spans="1:12" x14ac:dyDescent="0.25">
      <c r="A98" t="s">
        <v>132</v>
      </c>
      <c r="B98" t="s">
        <v>24</v>
      </c>
      <c r="C98" t="s">
        <v>43</v>
      </c>
      <c r="D98" t="s">
        <v>26</v>
      </c>
      <c r="E98" t="s">
        <v>21</v>
      </c>
      <c r="F98" s="1">
        <v>44902</v>
      </c>
      <c r="G98">
        <v>2432000</v>
      </c>
      <c r="H98">
        <f>G98*12</f>
        <v>29184000</v>
      </c>
      <c r="I98">
        <v>39</v>
      </c>
      <c r="J98">
        <v>3.4</v>
      </c>
      <c r="K98">
        <v>16</v>
      </c>
      <c r="L98" t="s">
        <v>17</v>
      </c>
    </row>
    <row r="99" spans="1:12" x14ac:dyDescent="0.25">
      <c r="A99" t="s">
        <v>133</v>
      </c>
      <c r="B99" t="s">
        <v>19</v>
      </c>
      <c r="C99" t="s">
        <v>20</v>
      </c>
      <c r="D99" t="s">
        <v>26</v>
      </c>
      <c r="E99" t="s">
        <v>33</v>
      </c>
      <c r="F99" s="1">
        <v>42333</v>
      </c>
      <c r="G99">
        <v>7136000</v>
      </c>
      <c r="H99">
        <f>G99*12</f>
        <v>85632000</v>
      </c>
      <c r="I99">
        <v>51</v>
      </c>
      <c r="J99">
        <v>4.9</v>
      </c>
      <c r="K99">
        <v>68</v>
      </c>
      <c r="L99" t="s">
        <v>17</v>
      </c>
    </row>
    <row r="100" spans="1:12" x14ac:dyDescent="0.25">
      <c r="A100" t="s">
        <v>134</v>
      </c>
      <c r="B100" t="s">
        <v>19</v>
      </c>
      <c r="C100" t="s">
        <v>20</v>
      </c>
      <c r="D100" t="s">
        <v>31</v>
      </c>
      <c r="E100" t="s">
        <v>16</v>
      </c>
      <c r="F100" s="1">
        <v>43500</v>
      </c>
      <c r="G100">
        <v>6446000</v>
      </c>
      <c r="H100">
        <f>G100*12</f>
        <v>77352000</v>
      </c>
      <c r="I100">
        <v>58</v>
      </c>
      <c r="J100">
        <v>5</v>
      </c>
      <c r="K100">
        <v>71</v>
      </c>
      <c r="L100" t="s">
        <v>17</v>
      </c>
    </row>
    <row r="101" spans="1:12" x14ac:dyDescent="0.25">
      <c r="A101" t="s">
        <v>135</v>
      </c>
      <c r="B101" t="s">
        <v>24</v>
      </c>
      <c r="C101" t="s">
        <v>25</v>
      </c>
      <c r="D101" t="s">
        <v>31</v>
      </c>
      <c r="E101" t="s">
        <v>21</v>
      </c>
      <c r="F101" s="1">
        <v>43932</v>
      </c>
      <c r="G101">
        <v>4865000</v>
      </c>
      <c r="H101">
        <f>G101*12</f>
        <v>58380000</v>
      </c>
      <c r="I101">
        <v>59</v>
      </c>
      <c r="J101">
        <v>4.2</v>
      </c>
      <c r="K101">
        <v>21</v>
      </c>
      <c r="L101" t="s">
        <v>17</v>
      </c>
    </row>
    <row r="102" spans="1:12" x14ac:dyDescent="0.25">
      <c r="A102" t="s">
        <v>136</v>
      </c>
      <c r="B102" t="s">
        <v>13</v>
      </c>
      <c r="C102" t="s">
        <v>54</v>
      </c>
      <c r="D102" t="s">
        <v>15</v>
      </c>
      <c r="E102" t="s">
        <v>21</v>
      </c>
      <c r="F102" s="1">
        <v>44052</v>
      </c>
      <c r="G102">
        <v>4208000</v>
      </c>
      <c r="H102">
        <f>G102*12</f>
        <v>50496000</v>
      </c>
      <c r="I102">
        <v>58</v>
      </c>
      <c r="J102">
        <v>4.4</v>
      </c>
      <c r="K102">
        <v>34</v>
      </c>
      <c r="L102" t="s">
        <v>17</v>
      </c>
    </row>
    <row r="103" spans="1:12" x14ac:dyDescent="0.25">
      <c r="A103" t="s">
        <v>137</v>
      </c>
      <c r="B103" t="s">
        <v>24</v>
      </c>
      <c r="C103" t="s">
        <v>43</v>
      </c>
      <c r="D103" t="s">
        <v>26</v>
      </c>
      <c r="E103" t="s">
        <v>16</v>
      </c>
      <c r="F103" s="1">
        <v>41926</v>
      </c>
      <c r="G103">
        <v>2677000</v>
      </c>
      <c r="H103">
        <f>G103*12</f>
        <v>32124000</v>
      </c>
      <c r="I103">
        <v>43</v>
      </c>
      <c r="J103">
        <v>4.6</v>
      </c>
      <c r="K103">
        <v>77</v>
      </c>
      <c r="L103" t="s">
        <v>17</v>
      </c>
    </row>
    <row r="104" spans="1:12" x14ac:dyDescent="0.25">
      <c r="A104" t="s">
        <v>138</v>
      </c>
      <c r="B104" t="s">
        <v>35</v>
      </c>
      <c r="C104" t="s">
        <v>74</v>
      </c>
      <c r="D104" t="s">
        <v>31</v>
      </c>
      <c r="E104" t="s">
        <v>33</v>
      </c>
      <c r="F104" s="1">
        <v>42714</v>
      </c>
      <c r="G104">
        <v>5535000</v>
      </c>
      <c r="H104">
        <f>G104*12</f>
        <v>66420000</v>
      </c>
      <c r="I104">
        <v>53</v>
      </c>
      <c r="J104">
        <v>4</v>
      </c>
      <c r="K104">
        <v>46</v>
      </c>
      <c r="L104" t="s">
        <v>17</v>
      </c>
    </row>
    <row r="105" spans="1:12" x14ac:dyDescent="0.25">
      <c r="A105" t="s">
        <v>139</v>
      </c>
      <c r="B105" t="s">
        <v>19</v>
      </c>
      <c r="C105" t="s">
        <v>46</v>
      </c>
      <c r="D105" t="s">
        <v>26</v>
      </c>
      <c r="E105" t="s">
        <v>33</v>
      </c>
      <c r="F105" s="1">
        <v>45423</v>
      </c>
      <c r="G105">
        <v>9073000</v>
      </c>
      <c r="H105">
        <f>G105*12</f>
        <v>108876000</v>
      </c>
      <c r="I105">
        <v>58</v>
      </c>
      <c r="J105">
        <v>4.1</v>
      </c>
      <c r="K105">
        <v>51</v>
      </c>
      <c r="L105" t="s">
        <v>17</v>
      </c>
    </row>
    <row r="106" spans="1:12" x14ac:dyDescent="0.25">
      <c r="A106" t="s">
        <v>140</v>
      </c>
      <c r="B106" t="s">
        <v>19</v>
      </c>
      <c r="C106" t="s">
        <v>20</v>
      </c>
      <c r="D106" t="s">
        <v>15</v>
      </c>
      <c r="E106" t="s">
        <v>16</v>
      </c>
      <c r="F106" s="1">
        <v>45197</v>
      </c>
      <c r="G106">
        <v>5692000</v>
      </c>
      <c r="H106">
        <f>G106*12</f>
        <v>68304000</v>
      </c>
      <c r="I106">
        <v>27</v>
      </c>
      <c r="J106">
        <v>3.1</v>
      </c>
      <c r="K106">
        <v>0</v>
      </c>
      <c r="L106" t="s">
        <v>17</v>
      </c>
    </row>
    <row r="107" spans="1:12" x14ac:dyDescent="0.25">
      <c r="A107" t="s">
        <v>141</v>
      </c>
      <c r="B107" t="s">
        <v>35</v>
      </c>
      <c r="C107" t="s">
        <v>36</v>
      </c>
      <c r="D107" t="s">
        <v>26</v>
      </c>
      <c r="E107" t="s">
        <v>16</v>
      </c>
      <c r="F107" s="1">
        <v>40963</v>
      </c>
      <c r="G107">
        <v>7293000</v>
      </c>
      <c r="H107">
        <f>G107*12</f>
        <v>87516000</v>
      </c>
      <c r="I107">
        <v>45</v>
      </c>
      <c r="J107">
        <v>4.1</v>
      </c>
      <c r="K107">
        <v>38</v>
      </c>
      <c r="L107" t="s">
        <v>17</v>
      </c>
    </row>
    <row r="108" spans="1:12" x14ac:dyDescent="0.25">
      <c r="A108" t="s">
        <v>142</v>
      </c>
      <c r="B108" t="s">
        <v>24</v>
      </c>
      <c r="C108" t="s">
        <v>43</v>
      </c>
      <c r="D108" t="s">
        <v>26</v>
      </c>
      <c r="E108" t="s">
        <v>33</v>
      </c>
      <c r="F108" s="1">
        <v>44976</v>
      </c>
      <c r="G108">
        <v>2323000</v>
      </c>
      <c r="H108">
        <f>G108*12</f>
        <v>27876000</v>
      </c>
      <c r="I108">
        <v>53</v>
      </c>
      <c r="J108">
        <v>3</v>
      </c>
      <c r="K108">
        <v>10</v>
      </c>
      <c r="L108" t="s">
        <v>17</v>
      </c>
    </row>
    <row r="109" spans="1:12" x14ac:dyDescent="0.25">
      <c r="A109" t="s">
        <v>143</v>
      </c>
      <c r="B109" t="s">
        <v>24</v>
      </c>
      <c r="C109" t="s">
        <v>43</v>
      </c>
      <c r="D109" t="s">
        <v>31</v>
      </c>
      <c r="E109" t="s">
        <v>16</v>
      </c>
      <c r="F109" s="1">
        <v>42530</v>
      </c>
      <c r="G109">
        <v>2479000</v>
      </c>
      <c r="H109">
        <f>G109*12</f>
        <v>29748000</v>
      </c>
      <c r="I109">
        <v>46</v>
      </c>
      <c r="J109">
        <v>4</v>
      </c>
      <c r="K109">
        <v>51</v>
      </c>
      <c r="L109" t="s">
        <v>17</v>
      </c>
    </row>
    <row r="110" spans="1:12" x14ac:dyDescent="0.25">
      <c r="A110" t="s">
        <v>144</v>
      </c>
      <c r="B110" t="s">
        <v>35</v>
      </c>
      <c r="C110" t="s">
        <v>36</v>
      </c>
      <c r="D110" t="s">
        <v>31</v>
      </c>
      <c r="E110" t="s">
        <v>16</v>
      </c>
      <c r="F110" s="1">
        <v>44173</v>
      </c>
      <c r="G110">
        <v>5580000</v>
      </c>
      <c r="H110">
        <f>G110*12</f>
        <v>66960000</v>
      </c>
      <c r="I110">
        <v>40</v>
      </c>
      <c r="J110">
        <v>2.8</v>
      </c>
      <c r="K110">
        <v>0</v>
      </c>
      <c r="L110" t="s">
        <v>17</v>
      </c>
    </row>
    <row r="111" spans="1:12" x14ac:dyDescent="0.25">
      <c r="A111" t="s">
        <v>145</v>
      </c>
      <c r="B111" t="s">
        <v>13</v>
      </c>
      <c r="C111" t="s">
        <v>14</v>
      </c>
      <c r="D111" t="s">
        <v>15</v>
      </c>
      <c r="E111" t="s">
        <v>16</v>
      </c>
      <c r="F111" s="1">
        <v>42806</v>
      </c>
      <c r="G111">
        <v>3658000</v>
      </c>
      <c r="H111">
        <f>G111*12</f>
        <v>43896000</v>
      </c>
      <c r="I111">
        <v>29</v>
      </c>
      <c r="J111">
        <v>4.1</v>
      </c>
      <c r="K111">
        <v>75</v>
      </c>
      <c r="L111" t="s">
        <v>17</v>
      </c>
    </row>
    <row r="112" spans="1:12" x14ac:dyDescent="0.25">
      <c r="A112" t="s">
        <v>146</v>
      </c>
      <c r="B112" t="s">
        <v>28</v>
      </c>
      <c r="C112" t="s">
        <v>29</v>
      </c>
      <c r="D112" t="s">
        <v>26</v>
      </c>
      <c r="E112" t="s">
        <v>16</v>
      </c>
      <c r="F112" s="1">
        <v>42572</v>
      </c>
      <c r="G112">
        <v>2224000</v>
      </c>
      <c r="H112">
        <f>G112*12</f>
        <v>26688000</v>
      </c>
      <c r="I112">
        <v>35</v>
      </c>
      <c r="J112">
        <v>3.9</v>
      </c>
      <c r="K112">
        <v>30</v>
      </c>
      <c r="L112" t="s">
        <v>17</v>
      </c>
    </row>
    <row r="113" spans="1:12" x14ac:dyDescent="0.25">
      <c r="A113" t="s">
        <v>147</v>
      </c>
      <c r="B113" t="s">
        <v>19</v>
      </c>
      <c r="C113" t="s">
        <v>46</v>
      </c>
      <c r="D113" t="s">
        <v>15</v>
      </c>
      <c r="E113" t="s">
        <v>33</v>
      </c>
      <c r="F113" s="1">
        <v>41857</v>
      </c>
      <c r="G113">
        <v>10803000</v>
      </c>
      <c r="H113">
        <f>G113*12</f>
        <v>129636000</v>
      </c>
      <c r="I113">
        <v>27</v>
      </c>
      <c r="J113">
        <v>4.3</v>
      </c>
      <c r="K113">
        <v>34</v>
      </c>
      <c r="L113" t="s">
        <v>17</v>
      </c>
    </row>
    <row r="114" spans="1:12" x14ac:dyDescent="0.25">
      <c r="A114" t="s">
        <v>148</v>
      </c>
      <c r="B114" t="s">
        <v>28</v>
      </c>
      <c r="C114" t="s">
        <v>29</v>
      </c>
      <c r="D114" t="s">
        <v>26</v>
      </c>
      <c r="E114" t="s">
        <v>16</v>
      </c>
      <c r="F114" s="1">
        <v>44419</v>
      </c>
      <c r="G114">
        <v>2078000</v>
      </c>
      <c r="H114">
        <f>G114*12</f>
        <v>24936000</v>
      </c>
      <c r="I114">
        <v>43</v>
      </c>
      <c r="J114">
        <v>4.3</v>
      </c>
      <c r="K114">
        <v>80</v>
      </c>
      <c r="L114" t="s">
        <v>17</v>
      </c>
    </row>
    <row r="115" spans="1:12" x14ac:dyDescent="0.25">
      <c r="A115" t="s">
        <v>149</v>
      </c>
      <c r="B115" t="s">
        <v>24</v>
      </c>
      <c r="C115" t="s">
        <v>43</v>
      </c>
      <c r="D115" t="s">
        <v>15</v>
      </c>
      <c r="E115" t="s">
        <v>21</v>
      </c>
      <c r="F115" s="1">
        <v>42592</v>
      </c>
      <c r="G115">
        <v>2526000</v>
      </c>
      <c r="H115">
        <f>G115*12</f>
        <v>30312000</v>
      </c>
      <c r="I115">
        <v>37</v>
      </c>
      <c r="J115">
        <v>4.4</v>
      </c>
      <c r="K115">
        <v>40</v>
      </c>
      <c r="L115" t="s">
        <v>17</v>
      </c>
    </row>
    <row r="116" spans="1:12" x14ac:dyDescent="0.25">
      <c r="A116" t="s">
        <v>150</v>
      </c>
      <c r="B116" t="s">
        <v>24</v>
      </c>
      <c r="C116" t="s">
        <v>43</v>
      </c>
      <c r="D116" t="s">
        <v>31</v>
      </c>
      <c r="E116" t="s">
        <v>16</v>
      </c>
      <c r="F116" s="1">
        <v>41907</v>
      </c>
      <c r="G116">
        <v>2731000</v>
      </c>
      <c r="H116">
        <f>G116*12</f>
        <v>32772000</v>
      </c>
      <c r="I116">
        <v>20</v>
      </c>
      <c r="J116">
        <v>4.1</v>
      </c>
      <c r="K116">
        <v>15</v>
      </c>
      <c r="L116" t="s">
        <v>17</v>
      </c>
    </row>
    <row r="117" spans="1:12" x14ac:dyDescent="0.25">
      <c r="A117" t="s">
        <v>151</v>
      </c>
      <c r="B117" t="s">
        <v>24</v>
      </c>
      <c r="C117" t="s">
        <v>25</v>
      </c>
      <c r="D117" t="s">
        <v>26</v>
      </c>
      <c r="E117" t="s">
        <v>16</v>
      </c>
      <c r="F117" s="1">
        <v>40964</v>
      </c>
      <c r="G117">
        <v>5704000</v>
      </c>
      <c r="H117">
        <f>G117*12</f>
        <v>68448000</v>
      </c>
      <c r="I117">
        <v>53</v>
      </c>
      <c r="J117">
        <v>4.2</v>
      </c>
      <c r="K117">
        <v>72</v>
      </c>
      <c r="L117" t="s">
        <v>17</v>
      </c>
    </row>
    <row r="118" spans="1:12" x14ac:dyDescent="0.25">
      <c r="A118" t="s">
        <v>152</v>
      </c>
      <c r="B118" t="s">
        <v>19</v>
      </c>
      <c r="C118" t="s">
        <v>38</v>
      </c>
      <c r="D118" t="s">
        <v>31</v>
      </c>
      <c r="E118" t="s">
        <v>16</v>
      </c>
      <c r="F118" s="1">
        <v>43318</v>
      </c>
      <c r="G118">
        <v>5856000</v>
      </c>
      <c r="H118">
        <f>G118*12</f>
        <v>70272000</v>
      </c>
      <c r="I118">
        <v>50</v>
      </c>
      <c r="J118">
        <v>3.7</v>
      </c>
      <c r="K118">
        <v>37</v>
      </c>
      <c r="L118" t="s">
        <v>17</v>
      </c>
    </row>
    <row r="119" spans="1:12" x14ac:dyDescent="0.25">
      <c r="A119" t="s">
        <v>153</v>
      </c>
      <c r="B119" t="s">
        <v>24</v>
      </c>
      <c r="C119" t="s">
        <v>25</v>
      </c>
      <c r="D119" t="s">
        <v>15</v>
      </c>
      <c r="E119" t="s">
        <v>16</v>
      </c>
      <c r="F119" s="1">
        <v>43885</v>
      </c>
      <c r="G119">
        <v>4565000</v>
      </c>
      <c r="H119">
        <f>G119*12</f>
        <v>54780000</v>
      </c>
      <c r="I119">
        <v>44</v>
      </c>
      <c r="J119">
        <v>3.3</v>
      </c>
      <c r="K119">
        <v>6</v>
      </c>
      <c r="L119" t="s">
        <v>17</v>
      </c>
    </row>
    <row r="120" spans="1:12" x14ac:dyDescent="0.25">
      <c r="A120" t="s">
        <v>154</v>
      </c>
      <c r="B120" t="s">
        <v>28</v>
      </c>
      <c r="C120" t="s">
        <v>29</v>
      </c>
      <c r="D120" t="s">
        <v>26</v>
      </c>
      <c r="E120" t="s">
        <v>33</v>
      </c>
      <c r="F120" s="1">
        <v>45954</v>
      </c>
      <c r="G120">
        <v>1920000</v>
      </c>
      <c r="H120">
        <f>G120*12</f>
        <v>23040000</v>
      </c>
      <c r="I120">
        <v>58</v>
      </c>
      <c r="J120">
        <v>4.2</v>
      </c>
      <c r="K120">
        <v>73</v>
      </c>
      <c r="L120" t="s">
        <v>17</v>
      </c>
    </row>
    <row r="121" spans="1:12" x14ac:dyDescent="0.25">
      <c r="A121" t="s">
        <v>155</v>
      </c>
      <c r="B121" t="s">
        <v>19</v>
      </c>
      <c r="C121" t="s">
        <v>46</v>
      </c>
      <c r="D121" t="s">
        <v>26</v>
      </c>
      <c r="E121" t="s">
        <v>16</v>
      </c>
      <c r="F121" s="1">
        <v>45796</v>
      </c>
      <c r="G121">
        <v>8931000</v>
      </c>
      <c r="H121">
        <f>G121*12</f>
        <v>107172000</v>
      </c>
      <c r="I121">
        <v>54</v>
      </c>
      <c r="J121">
        <v>3.2</v>
      </c>
      <c r="K121">
        <v>8</v>
      </c>
      <c r="L121" t="s">
        <v>17</v>
      </c>
    </row>
    <row r="122" spans="1:12" x14ac:dyDescent="0.25">
      <c r="A122" t="s">
        <v>156</v>
      </c>
      <c r="B122" t="s">
        <v>13</v>
      </c>
      <c r="C122" t="s">
        <v>54</v>
      </c>
      <c r="D122" t="s">
        <v>31</v>
      </c>
      <c r="E122" t="s">
        <v>16</v>
      </c>
      <c r="F122" s="1">
        <v>41986</v>
      </c>
      <c r="G122">
        <v>4961000</v>
      </c>
      <c r="H122">
        <f>G122*12</f>
        <v>59532000</v>
      </c>
      <c r="I122">
        <v>52</v>
      </c>
      <c r="J122">
        <v>5</v>
      </c>
      <c r="K122">
        <v>72</v>
      </c>
      <c r="L122" t="s">
        <v>17</v>
      </c>
    </row>
    <row r="123" spans="1:12" x14ac:dyDescent="0.25">
      <c r="A123" t="s">
        <v>157</v>
      </c>
      <c r="B123" t="s">
        <v>19</v>
      </c>
      <c r="C123" t="s">
        <v>20</v>
      </c>
      <c r="D123" t="s">
        <v>31</v>
      </c>
      <c r="E123" t="s">
        <v>16</v>
      </c>
      <c r="F123" s="1">
        <v>43493</v>
      </c>
      <c r="G123">
        <v>6266000</v>
      </c>
      <c r="H123">
        <f>G123*12</f>
        <v>75192000</v>
      </c>
      <c r="I123">
        <v>61</v>
      </c>
      <c r="J123">
        <v>3.5</v>
      </c>
      <c r="K123">
        <v>25</v>
      </c>
      <c r="L123" t="s">
        <v>17</v>
      </c>
    </row>
    <row r="124" spans="1:12" x14ac:dyDescent="0.25">
      <c r="A124" t="s">
        <v>158</v>
      </c>
      <c r="B124" t="s">
        <v>35</v>
      </c>
      <c r="C124" t="s">
        <v>74</v>
      </c>
      <c r="D124" t="s">
        <v>15</v>
      </c>
      <c r="E124" t="s">
        <v>16</v>
      </c>
      <c r="F124" s="1">
        <v>45140</v>
      </c>
      <c r="G124">
        <v>4670000</v>
      </c>
      <c r="H124">
        <f>G124*12</f>
        <v>56040000</v>
      </c>
      <c r="I124">
        <v>23</v>
      </c>
      <c r="K124">
        <v>20</v>
      </c>
      <c r="L124" t="s">
        <v>17</v>
      </c>
    </row>
    <row r="125" spans="1:12" x14ac:dyDescent="0.25">
      <c r="A125" t="s">
        <v>159</v>
      </c>
      <c r="B125" t="s">
        <v>24</v>
      </c>
      <c r="C125" t="s">
        <v>43</v>
      </c>
      <c r="D125" t="s">
        <v>31</v>
      </c>
      <c r="E125" t="s">
        <v>21</v>
      </c>
      <c r="F125" s="1">
        <v>41138</v>
      </c>
      <c r="G125">
        <v>2840000</v>
      </c>
      <c r="H125">
        <f>G125*12</f>
        <v>34080000</v>
      </c>
      <c r="I125">
        <v>62</v>
      </c>
      <c r="J125">
        <v>4.1</v>
      </c>
      <c r="K125">
        <v>13</v>
      </c>
      <c r="L125" t="s">
        <v>17</v>
      </c>
    </row>
    <row r="126" spans="1:12" x14ac:dyDescent="0.25">
      <c r="A126" t="s">
        <v>160</v>
      </c>
      <c r="B126" t="s">
        <v>28</v>
      </c>
      <c r="C126" t="s">
        <v>56</v>
      </c>
      <c r="D126" t="s">
        <v>26</v>
      </c>
      <c r="E126" t="s">
        <v>33</v>
      </c>
      <c r="F126" s="1">
        <v>43889</v>
      </c>
      <c r="G126">
        <v>4133000</v>
      </c>
      <c r="H126">
        <f>G126*12</f>
        <v>49596000</v>
      </c>
      <c r="I126">
        <v>49</v>
      </c>
      <c r="J126">
        <v>4.3</v>
      </c>
      <c r="K126">
        <v>21</v>
      </c>
      <c r="L126" t="s">
        <v>17</v>
      </c>
    </row>
    <row r="127" spans="1:12" x14ac:dyDescent="0.25">
      <c r="A127" t="s">
        <v>161</v>
      </c>
      <c r="B127" t="s">
        <v>19</v>
      </c>
      <c r="C127" t="s">
        <v>20</v>
      </c>
      <c r="D127" t="s">
        <v>15</v>
      </c>
      <c r="E127" t="s">
        <v>16</v>
      </c>
      <c r="F127" s="1">
        <v>45850</v>
      </c>
      <c r="G127">
        <v>5738000</v>
      </c>
      <c r="H127">
        <f>G127*12</f>
        <v>68856000</v>
      </c>
      <c r="I127">
        <v>39</v>
      </c>
      <c r="J127">
        <v>4.4</v>
      </c>
      <c r="K127">
        <v>72</v>
      </c>
      <c r="L127" t="s">
        <v>17</v>
      </c>
    </row>
    <row r="128" spans="1:12" x14ac:dyDescent="0.25">
      <c r="A128" t="s">
        <v>162</v>
      </c>
      <c r="B128" t="s">
        <v>19</v>
      </c>
      <c r="C128" t="s">
        <v>20</v>
      </c>
      <c r="D128" t="s">
        <v>31</v>
      </c>
      <c r="E128" t="s">
        <v>33</v>
      </c>
      <c r="F128" s="1">
        <v>42087</v>
      </c>
      <c r="G128">
        <v>7040000</v>
      </c>
      <c r="H128">
        <f>G128*12</f>
        <v>84480000</v>
      </c>
      <c r="I128">
        <v>36</v>
      </c>
      <c r="J128">
        <v>5</v>
      </c>
      <c r="K128">
        <v>78</v>
      </c>
      <c r="L128" t="s">
        <v>17</v>
      </c>
    </row>
    <row r="129" spans="1:12" x14ac:dyDescent="0.25">
      <c r="A129" t="s">
        <v>163</v>
      </c>
      <c r="B129" t="s">
        <v>28</v>
      </c>
      <c r="C129" t="s">
        <v>29</v>
      </c>
      <c r="D129" t="s">
        <v>31</v>
      </c>
      <c r="E129" t="s">
        <v>33</v>
      </c>
      <c r="F129" s="1">
        <v>44429</v>
      </c>
      <c r="G129">
        <v>2063000</v>
      </c>
      <c r="H129">
        <f>G129*12</f>
        <v>24756000</v>
      </c>
      <c r="I129">
        <v>52</v>
      </c>
      <c r="J129">
        <v>4.8</v>
      </c>
      <c r="K129">
        <v>80</v>
      </c>
      <c r="L129" t="s">
        <v>17</v>
      </c>
    </row>
    <row r="130" spans="1:12" x14ac:dyDescent="0.25">
      <c r="A130" t="s">
        <v>164</v>
      </c>
      <c r="B130" t="s">
        <v>35</v>
      </c>
      <c r="C130" t="s">
        <v>36</v>
      </c>
      <c r="D130" t="s">
        <v>15</v>
      </c>
      <c r="E130" t="s">
        <v>21</v>
      </c>
      <c r="F130" s="1">
        <v>44119</v>
      </c>
      <c r="G130">
        <v>5940000</v>
      </c>
      <c r="H130">
        <f>G130*12</f>
        <v>71280000</v>
      </c>
      <c r="I130">
        <v>32</v>
      </c>
      <c r="J130">
        <v>3.4</v>
      </c>
      <c r="K130">
        <v>24</v>
      </c>
      <c r="L130" t="s">
        <v>17</v>
      </c>
    </row>
    <row r="131" spans="1:12" x14ac:dyDescent="0.25">
      <c r="A131" t="s">
        <v>165</v>
      </c>
      <c r="B131" t="s">
        <v>24</v>
      </c>
      <c r="C131" t="s">
        <v>25</v>
      </c>
      <c r="D131" t="s">
        <v>26</v>
      </c>
      <c r="E131" t="s">
        <v>33</v>
      </c>
      <c r="F131" s="1">
        <v>42342</v>
      </c>
      <c r="G131">
        <v>5545000</v>
      </c>
      <c r="H131">
        <f>G131*12</f>
        <v>66540000</v>
      </c>
      <c r="I131">
        <v>22</v>
      </c>
      <c r="J131">
        <v>5</v>
      </c>
      <c r="K131">
        <v>78</v>
      </c>
      <c r="L131" t="s">
        <v>17</v>
      </c>
    </row>
    <row r="132" spans="1:12" x14ac:dyDescent="0.25">
      <c r="A132" t="s">
        <v>166</v>
      </c>
      <c r="B132" t="s">
        <v>19</v>
      </c>
      <c r="C132" t="s">
        <v>46</v>
      </c>
      <c r="D132" t="s">
        <v>31</v>
      </c>
      <c r="E132" t="s">
        <v>16</v>
      </c>
      <c r="F132" s="1">
        <v>44616</v>
      </c>
      <c r="G132">
        <v>10090000</v>
      </c>
      <c r="H132">
        <f>G132*12</f>
        <v>121080000</v>
      </c>
      <c r="I132">
        <v>30</v>
      </c>
      <c r="J132">
        <v>4.3</v>
      </c>
      <c r="K132">
        <v>15</v>
      </c>
      <c r="L132" t="s">
        <v>17</v>
      </c>
    </row>
    <row r="133" spans="1:12" x14ac:dyDescent="0.25">
      <c r="A133" t="s">
        <v>167</v>
      </c>
      <c r="B133" t="s">
        <v>24</v>
      </c>
      <c r="C133" t="s">
        <v>25</v>
      </c>
      <c r="D133" t="s">
        <v>26</v>
      </c>
      <c r="E133" t="s">
        <v>33</v>
      </c>
      <c r="F133" s="1">
        <v>43566</v>
      </c>
      <c r="G133">
        <v>4585000</v>
      </c>
      <c r="H133">
        <f>G133*12</f>
        <v>55020000</v>
      </c>
      <c r="I133">
        <v>60</v>
      </c>
      <c r="J133">
        <v>3.9</v>
      </c>
      <c r="K133">
        <v>33</v>
      </c>
      <c r="L133" t="s">
        <v>17</v>
      </c>
    </row>
    <row r="134" spans="1:12" x14ac:dyDescent="0.25">
      <c r="A134" t="s">
        <v>168</v>
      </c>
      <c r="B134" t="s">
        <v>35</v>
      </c>
      <c r="C134" t="s">
        <v>74</v>
      </c>
      <c r="D134" t="s">
        <v>31</v>
      </c>
      <c r="E134" t="s">
        <v>16</v>
      </c>
      <c r="F134" s="1">
        <v>42139</v>
      </c>
      <c r="G134">
        <v>5876000</v>
      </c>
      <c r="H134">
        <f>G134*12</f>
        <v>70512000</v>
      </c>
      <c r="I134">
        <v>36</v>
      </c>
      <c r="J134">
        <v>3.9</v>
      </c>
      <c r="K134">
        <v>35</v>
      </c>
      <c r="L134" t="s">
        <v>17</v>
      </c>
    </row>
    <row r="135" spans="1:12" x14ac:dyDescent="0.25">
      <c r="A135" t="s">
        <v>169</v>
      </c>
      <c r="B135" t="s">
        <v>28</v>
      </c>
      <c r="C135" t="s">
        <v>29</v>
      </c>
      <c r="D135" t="s">
        <v>26</v>
      </c>
      <c r="E135" t="s">
        <v>21</v>
      </c>
      <c r="F135" s="1">
        <v>42016</v>
      </c>
      <c r="G135">
        <v>2154000</v>
      </c>
      <c r="H135">
        <f>G135*12</f>
        <v>25848000</v>
      </c>
      <c r="I135">
        <v>41</v>
      </c>
      <c r="J135">
        <v>4.3</v>
      </c>
      <c r="K135">
        <v>59</v>
      </c>
      <c r="L135" t="s">
        <v>17</v>
      </c>
    </row>
    <row r="136" spans="1:12" x14ac:dyDescent="0.25">
      <c r="A136" t="s">
        <v>170</v>
      </c>
      <c r="B136" t="s">
        <v>19</v>
      </c>
      <c r="C136" t="s">
        <v>20</v>
      </c>
      <c r="D136" t="s">
        <v>15</v>
      </c>
      <c r="E136" t="s">
        <v>16</v>
      </c>
      <c r="F136" s="1">
        <v>43502</v>
      </c>
      <c r="G136">
        <v>6593000</v>
      </c>
      <c r="H136">
        <f>G136*12</f>
        <v>79116000</v>
      </c>
      <c r="I136">
        <v>25</v>
      </c>
      <c r="J136">
        <v>4.9</v>
      </c>
      <c r="K136">
        <v>46</v>
      </c>
      <c r="L136" t="s">
        <v>17</v>
      </c>
    </row>
    <row r="137" spans="1:12" x14ac:dyDescent="0.25">
      <c r="A137" t="s">
        <v>171</v>
      </c>
      <c r="B137" t="s">
        <v>28</v>
      </c>
      <c r="C137" t="s">
        <v>29</v>
      </c>
      <c r="D137" t="s">
        <v>31</v>
      </c>
      <c r="E137" t="s">
        <v>21</v>
      </c>
      <c r="F137" s="1">
        <v>42237</v>
      </c>
      <c r="G137">
        <v>2129000</v>
      </c>
      <c r="H137">
        <f>G137*12</f>
        <v>25548000</v>
      </c>
      <c r="I137">
        <v>51</v>
      </c>
      <c r="J137">
        <v>5</v>
      </c>
      <c r="K137">
        <v>79</v>
      </c>
      <c r="L137" t="s">
        <v>17</v>
      </c>
    </row>
    <row r="138" spans="1:12" x14ac:dyDescent="0.25">
      <c r="A138" t="s">
        <v>172</v>
      </c>
      <c r="B138" t="s">
        <v>19</v>
      </c>
      <c r="C138" t="s">
        <v>46</v>
      </c>
      <c r="D138" t="s">
        <v>15</v>
      </c>
      <c r="E138" t="s">
        <v>21</v>
      </c>
      <c r="F138" s="1">
        <v>45191</v>
      </c>
      <c r="G138">
        <v>9749000</v>
      </c>
      <c r="H138">
        <f>G138*12</f>
        <v>116988000</v>
      </c>
      <c r="I138">
        <v>37</v>
      </c>
      <c r="J138">
        <v>4.1</v>
      </c>
      <c r="K138">
        <v>11</v>
      </c>
      <c r="L138" t="s">
        <v>17</v>
      </c>
    </row>
    <row r="139" spans="1:12" x14ac:dyDescent="0.25">
      <c r="A139" t="s">
        <v>173</v>
      </c>
      <c r="B139" t="s">
        <v>28</v>
      </c>
      <c r="C139" t="s">
        <v>29</v>
      </c>
      <c r="D139" t="s">
        <v>31</v>
      </c>
      <c r="E139" t="s">
        <v>16</v>
      </c>
      <c r="F139" s="1">
        <v>41890</v>
      </c>
      <c r="G139">
        <v>2355000</v>
      </c>
      <c r="H139">
        <f>G139*12</f>
        <v>28260000</v>
      </c>
      <c r="I139">
        <v>57</v>
      </c>
      <c r="J139">
        <v>3.7</v>
      </c>
      <c r="K139">
        <v>20</v>
      </c>
      <c r="L139" t="s">
        <v>17</v>
      </c>
    </row>
    <row r="140" spans="1:12" x14ac:dyDescent="0.25">
      <c r="A140" t="s">
        <v>174</v>
      </c>
      <c r="B140" t="s">
        <v>35</v>
      </c>
      <c r="C140" t="s">
        <v>36</v>
      </c>
      <c r="D140" t="s">
        <v>31</v>
      </c>
      <c r="E140" t="s">
        <v>21</v>
      </c>
      <c r="F140" s="1">
        <v>41321</v>
      </c>
      <c r="G140">
        <v>6678000</v>
      </c>
      <c r="H140">
        <f>G140*12</f>
        <v>80136000</v>
      </c>
      <c r="I140">
        <v>44</v>
      </c>
      <c r="J140">
        <v>3.8</v>
      </c>
      <c r="K140">
        <v>28</v>
      </c>
      <c r="L140" t="s">
        <v>17</v>
      </c>
    </row>
    <row r="141" spans="1:12" x14ac:dyDescent="0.25">
      <c r="A141" t="s">
        <v>175</v>
      </c>
      <c r="B141" t="s">
        <v>13</v>
      </c>
      <c r="C141" t="s">
        <v>14</v>
      </c>
      <c r="D141" t="s">
        <v>26</v>
      </c>
      <c r="E141" t="s">
        <v>33</v>
      </c>
      <c r="F141" s="1">
        <v>43757</v>
      </c>
      <c r="G141">
        <v>3700000</v>
      </c>
      <c r="H141">
        <f>G141*12</f>
        <v>44400000</v>
      </c>
      <c r="I141">
        <v>60</v>
      </c>
      <c r="J141">
        <v>4.7</v>
      </c>
      <c r="K141">
        <v>56</v>
      </c>
      <c r="L141" t="s">
        <v>17</v>
      </c>
    </row>
    <row r="142" spans="1:12" x14ac:dyDescent="0.25">
      <c r="A142" t="s">
        <v>176</v>
      </c>
      <c r="B142" t="s">
        <v>24</v>
      </c>
      <c r="C142" t="s">
        <v>43</v>
      </c>
      <c r="D142" t="s">
        <v>26</v>
      </c>
      <c r="E142" t="s">
        <v>21</v>
      </c>
      <c r="F142" s="1">
        <v>43827</v>
      </c>
      <c r="G142">
        <v>2404000</v>
      </c>
      <c r="H142">
        <f>G142*12</f>
        <v>28848000</v>
      </c>
      <c r="I142">
        <v>53</v>
      </c>
      <c r="J142">
        <v>3</v>
      </c>
      <c r="K142">
        <v>14</v>
      </c>
      <c r="L142" t="s">
        <v>17</v>
      </c>
    </row>
    <row r="143" spans="1:12" x14ac:dyDescent="0.25">
      <c r="A143" t="s">
        <v>177</v>
      </c>
      <c r="B143" t="s">
        <v>28</v>
      </c>
      <c r="C143" t="s">
        <v>56</v>
      </c>
      <c r="D143" t="s">
        <v>15</v>
      </c>
      <c r="E143" t="s">
        <v>21</v>
      </c>
      <c r="F143" s="1">
        <v>44854</v>
      </c>
      <c r="G143">
        <v>3921000</v>
      </c>
      <c r="H143">
        <f>G143*12</f>
        <v>47052000</v>
      </c>
      <c r="I143">
        <v>42</v>
      </c>
      <c r="J143">
        <v>4.4</v>
      </c>
      <c r="K143">
        <v>57</v>
      </c>
      <c r="L143" t="s">
        <v>17</v>
      </c>
    </row>
    <row r="144" spans="1:12" x14ac:dyDescent="0.25">
      <c r="A144" t="s">
        <v>178</v>
      </c>
      <c r="B144" t="s">
        <v>13</v>
      </c>
      <c r="C144" t="s">
        <v>14</v>
      </c>
      <c r="D144" t="s">
        <v>26</v>
      </c>
      <c r="E144" t="s">
        <v>21</v>
      </c>
      <c r="F144" s="1">
        <v>40950</v>
      </c>
      <c r="G144">
        <v>4336000</v>
      </c>
      <c r="H144">
        <f>G144*12</f>
        <v>52032000</v>
      </c>
      <c r="I144">
        <v>34</v>
      </c>
      <c r="J144">
        <v>4.2</v>
      </c>
      <c r="K144">
        <v>32</v>
      </c>
      <c r="L144" t="s">
        <v>17</v>
      </c>
    </row>
    <row r="145" spans="1:12" x14ac:dyDescent="0.25">
      <c r="A145" t="s">
        <v>179</v>
      </c>
      <c r="B145" t="s">
        <v>24</v>
      </c>
      <c r="C145" t="s">
        <v>25</v>
      </c>
      <c r="D145" t="s">
        <v>31</v>
      </c>
      <c r="E145" t="s">
        <v>21</v>
      </c>
      <c r="F145" s="1">
        <v>44108</v>
      </c>
      <c r="G145">
        <v>4854000</v>
      </c>
      <c r="H145">
        <f>G145*12</f>
        <v>58248000</v>
      </c>
      <c r="I145">
        <v>50</v>
      </c>
      <c r="J145">
        <v>4.1</v>
      </c>
      <c r="K145">
        <v>50</v>
      </c>
      <c r="L145" t="s">
        <v>17</v>
      </c>
    </row>
    <row r="146" spans="1:12" x14ac:dyDescent="0.25">
      <c r="A146" t="s">
        <v>180</v>
      </c>
      <c r="B146" t="s">
        <v>19</v>
      </c>
      <c r="C146" t="s">
        <v>20</v>
      </c>
      <c r="D146" t="s">
        <v>26</v>
      </c>
      <c r="E146" t="s">
        <v>33</v>
      </c>
      <c r="F146" s="1">
        <v>45846</v>
      </c>
      <c r="G146">
        <v>5820000</v>
      </c>
      <c r="H146">
        <f>G146*12</f>
        <v>69840000</v>
      </c>
      <c r="I146">
        <v>42</v>
      </c>
      <c r="J146">
        <v>4.5</v>
      </c>
      <c r="K146">
        <v>72</v>
      </c>
      <c r="L146" t="s">
        <v>17</v>
      </c>
    </row>
    <row r="147" spans="1:12" x14ac:dyDescent="0.25">
      <c r="A147" t="s">
        <v>181</v>
      </c>
      <c r="B147" t="s">
        <v>24</v>
      </c>
      <c r="C147" t="s">
        <v>43</v>
      </c>
      <c r="D147" t="s">
        <v>15</v>
      </c>
      <c r="E147" t="s">
        <v>33</v>
      </c>
      <c r="F147" s="1">
        <v>41133</v>
      </c>
      <c r="G147">
        <v>2696000</v>
      </c>
      <c r="H147">
        <f>G147*12</f>
        <v>32352000</v>
      </c>
      <c r="I147">
        <v>40</v>
      </c>
      <c r="J147">
        <v>4.6</v>
      </c>
      <c r="K147">
        <v>67</v>
      </c>
      <c r="L147" t="s">
        <v>17</v>
      </c>
    </row>
    <row r="148" spans="1:12" x14ac:dyDescent="0.25">
      <c r="A148" t="s">
        <v>182</v>
      </c>
      <c r="B148" t="s">
        <v>35</v>
      </c>
      <c r="C148" t="s">
        <v>74</v>
      </c>
      <c r="D148" t="s">
        <v>15</v>
      </c>
      <c r="E148" t="s">
        <v>21</v>
      </c>
      <c r="F148" s="1">
        <v>42987</v>
      </c>
      <c r="G148">
        <v>5668000</v>
      </c>
      <c r="H148">
        <f>G148*12</f>
        <v>68016000</v>
      </c>
      <c r="I148">
        <v>62</v>
      </c>
      <c r="J148">
        <v>3.2</v>
      </c>
      <c r="K148">
        <v>30</v>
      </c>
      <c r="L148" t="s">
        <v>17</v>
      </c>
    </row>
    <row r="149" spans="1:12" x14ac:dyDescent="0.25">
      <c r="A149" t="s">
        <v>183</v>
      </c>
      <c r="B149" t="s">
        <v>35</v>
      </c>
      <c r="C149" t="s">
        <v>36</v>
      </c>
      <c r="D149" t="s">
        <v>26</v>
      </c>
      <c r="E149" t="s">
        <v>33</v>
      </c>
      <c r="F149" s="1">
        <v>41350</v>
      </c>
      <c r="G149">
        <v>6660000</v>
      </c>
      <c r="H149">
        <f>G149*12</f>
        <v>79920000</v>
      </c>
      <c r="I149">
        <v>53</v>
      </c>
      <c r="J149">
        <v>4.2</v>
      </c>
      <c r="K149">
        <v>54</v>
      </c>
      <c r="L149" t="s">
        <v>17</v>
      </c>
    </row>
    <row r="150" spans="1:12" x14ac:dyDescent="0.25">
      <c r="A150" t="s">
        <v>184</v>
      </c>
      <c r="B150" t="s">
        <v>24</v>
      </c>
      <c r="C150" t="s">
        <v>43</v>
      </c>
      <c r="D150" t="s">
        <v>31</v>
      </c>
      <c r="E150" t="s">
        <v>33</v>
      </c>
      <c r="F150" s="1">
        <v>45728</v>
      </c>
      <c r="G150">
        <v>2193000</v>
      </c>
      <c r="H150">
        <f>G150*12</f>
        <v>26316000</v>
      </c>
      <c r="I150">
        <v>23</v>
      </c>
      <c r="J150">
        <v>4.6</v>
      </c>
      <c r="K150">
        <v>41</v>
      </c>
      <c r="L150" t="s">
        <v>17</v>
      </c>
    </row>
    <row r="151" spans="1:12" x14ac:dyDescent="0.25">
      <c r="A151" t="s">
        <v>185</v>
      </c>
      <c r="B151" t="s">
        <v>28</v>
      </c>
      <c r="C151" t="s">
        <v>29</v>
      </c>
      <c r="D151" t="s">
        <v>26</v>
      </c>
      <c r="E151" t="s">
        <v>33</v>
      </c>
      <c r="F151" s="1">
        <v>42070</v>
      </c>
      <c r="G151">
        <v>2249000</v>
      </c>
      <c r="H151">
        <f>G151*12</f>
        <v>26988000</v>
      </c>
      <c r="I151">
        <v>36</v>
      </c>
      <c r="J151">
        <v>4.5</v>
      </c>
      <c r="K151">
        <v>45</v>
      </c>
      <c r="L151" t="s">
        <v>17</v>
      </c>
    </row>
    <row r="152" spans="1:12" x14ac:dyDescent="0.25">
      <c r="A152" t="s">
        <v>186</v>
      </c>
      <c r="B152" t="s">
        <v>19</v>
      </c>
      <c r="C152" t="s">
        <v>20</v>
      </c>
      <c r="D152" t="s">
        <v>31</v>
      </c>
      <c r="E152" t="s">
        <v>16</v>
      </c>
      <c r="F152" s="1">
        <v>44577</v>
      </c>
      <c r="G152">
        <v>6053000</v>
      </c>
      <c r="H152">
        <f>G152*12</f>
        <v>72636000</v>
      </c>
      <c r="I152">
        <v>41</v>
      </c>
      <c r="J152">
        <v>4</v>
      </c>
      <c r="K152">
        <v>31</v>
      </c>
      <c r="L152" t="s">
        <v>69</v>
      </c>
    </row>
    <row r="153" spans="1:12" x14ac:dyDescent="0.25">
      <c r="A153" t="s">
        <v>187</v>
      </c>
      <c r="B153" t="s">
        <v>24</v>
      </c>
      <c r="C153" t="s">
        <v>25</v>
      </c>
      <c r="D153" t="s">
        <v>31</v>
      </c>
      <c r="E153" t="s">
        <v>21</v>
      </c>
      <c r="F153" s="1">
        <v>44032</v>
      </c>
      <c r="G153">
        <v>4424000</v>
      </c>
      <c r="H153">
        <f>G153*12</f>
        <v>53088000</v>
      </c>
      <c r="I153">
        <v>40</v>
      </c>
      <c r="J153">
        <v>3.1</v>
      </c>
      <c r="K153">
        <v>1</v>
      </c>
      <c r="L153" t="s">
        <v>17</v>
      </c>
    </row>
    <row r="154" spans="1:12" x14ac:dyDescent="0.25">
      <c r="A154" t="s">
        <v>188</v>
      </c>
      <c r="B154" t="s">
        <v>13</v>
      </c>
      <c r="C154" t="s">
        <v>14</v>
      </c>
      <c r="D154" t="s">
        <v>15</v>
      </c>
      <c r="E154" t="s">
        <v>21</v>
      </c>
      <c r="F154" s="1">
        <v>41544</v>
      </c>
      <c r="G154">
        <v>4384000</v>
      </c>
      <c r="H154">
        <f>G154*12</f>
        <v>52608000</v>
      </c>
      <c r="I154">
        <v>58</v>
      </c>
      <c r="J154">
        <v>4.4</v>
      </c>
      <c r="K154">
        <v>36</v>
      </c>
      <c r="L154" t="s">
        <v>17</v>
      </c>
    </row>
    <row r="155" spans="1:12" x14ac:dyDescent="0.25">
      <c r="A155" t="s">
        <v>189</v>
      </c>
      <c r="B155" t="s">
        <v>28</v>
      </c>
      <c r="C155" t="s">
        <v>56</v>
      </c>
      <c r="D155" t="s">
        <v>26</v>
      </c>
      <c r="E155" t="s">
        <v>16</v>
      </c>
      <c r="F155" s="1">
        <v>42074</v>
      </c>
      <c r="G155">
        <v>4164000</v>
      </c>
      <c r="H155">
        <f>G155*12</f>
        <v>49968000</v>
      </c>
      <c r="I155">
        <v>42</v>
      </c>
      <c r="J155">
        <v>3.9</v>
      </c>
      <c r="K155">
        <v>56</v>
      </c>
      <c r="L155" t="s">
        <v>17</v>
      </c>
    </row>
    <row r="156" spans="1:12" x14ac:dyDescent="0.25">
      <c r="A156" t="s">
        <v>190</v>
      </c>
      <c r="B156" t="s">
        <v>13</v>
      </c>
      <c r="C156" t="s">
        <v>54</v>
      </c>
      <c r="D156" t="s">
        <v>26</v>
      </c>
      <c r="E156" t="s">
        <v>16</v>
      </c>
      <c r="F156" s="1">
        <v>42455</v>
      </c>
      <c r="G156">
        <v>5041000</v>
      </c>
      <c r="H156">
        <f>G156*12</f>
        <v>60492000</v>
      </c>
      <c r="I156">
        <v>32</v>
      </c>
      <c r="J156">
        <v>4.7</v>
      </c>
      <c r="K156">
        <v>39</v>
      </c>
      <c r="L156" t="s">
        <v>17</v>
      </c>
    </row>
    <row r="157" spans="1:12" x14ac:dyDescent="0.25">
      <c r="A157" t="s">
        <v>191</v>
      </c>
      <c r="B157" t="s">
        <v>19</v>
      </c>
      <c r="C157" t="s">
        <v>38</v>
      </c>
      <c r="D157" t="s">
        <v>26</v>
      </c>
      <c r="E157" t="s">
        <v>16</v>
      </c>
      <c r="F157" s="1">
        <v>43304</v>
      </c>
      <c r="G157">
        <v>5454000</v>
      </c>
      <c r="H157">
        <f>G157*12</f>
        <v>65448000</v>
      </c>
      <c r="I157">
        <v>26</v>
      </c>
      <c r="J157">
        <v>4.2</v>
      </c>
      <c r="K157">
        <v>51</v>
      </c>
      <c r="L157" t="s">
        <v>17</v>
      </c>
    </row>
    <row r="158" spans="1:12" x14ac:dyDescent="0.25">
      <c r="A158" t="s">
        <v>192</v>
      </c>
      <c r="B158" t="s">
        <v>19</v>
      </c>
      <c r="C158" t="s">
        <v>20</v>
      </c>
      <c r="D158" t="s">
        <v>15</v>
      </c>
      <c r="E158" t="s">
        <v>33</v>
      </c>
      <c r="F158" s="1">
        <v>42058</v>
      </c>
      <c r="G158">
        <v>7142000</v>
      </c>
      <c r="H158">
        <f>G158*12</f>
        <v>85704000</v>
      </c>
      <c r="I158">
        <v>23</v>
      </c>
      <c r="J158">
        <v>3.4</v>
      </c>
      <c r="K158">
        <v>35</v>
      </c>
      <c r="L158" t="s">
        <v>17</v>
      </c>
    </row>
    <row r="159" spans="1:12" x14ac:dyDescent="0.25">
      <c r="A159" t="s">
        <v>193</v>
      </c>
      <c r="B159" t="s">
        <v>19</v>
      </c>
      <c r="C159" t="s">
        <v>38</v>
      </c>
      <c r="D159" t="s">
        <v>15</v>
      </c>
      <c r="E159" t="s">
        <v>16</v>
      </c>
      <c r="F159" s="1">
        <v>41799</v>
      </c>
      <c r="G159">
        <v>6073000</v>
      </c>
      <c r="H159">
        <f>G159*12</f>
        <v>72876000</v>
      </c>
      <c r="I159">
        <v>47</v>
      </c>
      <c r="J159">
        <v>4.8</v>
      </c>
      <c r="K159">
        <v>44</v>
      </c>
      <c r="L159" t="s">
        <v>17</v>
      </c>
    </row>
    <row r="160" spans="1:12" x14ac:dyDescent="0.25">
      <c r="A160" t="s">
        <v>194</v>
      </c>
      <c r="B160" t="s">
        <v>28</v>
      </c>
      <c r="C160" t="s">
        <v>29</v>
      </c>
      <c r="D160" t="s">
        <v>31</v>
      </c>
      <c r="E160" t="s">
        <v>21</v>
      </c>
      <c r="F160" s="1">
        <v>43413</v>
      </c>
      <c r="G160">
        <v>2185000</v>
      </c>
      <c r="H160">
        <f>G160*12</f>
        <v>26220000</v>
      </c>
      <c r="I160">
        <v>55</v>
      </c>
      <c r="J160">
        <v>3.7</v>
      </c>
      <c r="K160">
        <v>53</v>
      </c>
      <c r="L160" t="s">
        <v>17</v>
      </c>
    </row>
    <row r="161" spans="1:12" x14ac:dyDescent="0.25">
      <c r="A161" t="s">
        <v>195</v>
      </c>
      <c r="B161" t="s">
        <v>28</v>
      </c>
      <c r="C161" t="s">
        <v>56</v>
      </c>
      <c r="D161" t="s">
        <v>15</v>
      </c>
      <c r="E161" t="s">
        <v>33</v>
      </c>
      <c r="F161" s="1">
        <v>45435</v>
      </c>
      <c r="G161">
        <v>3417000</v>
      </c>
      <c r="H161">
        <f>G161*12</f>
        <v>41004000</v>
      </c>
      <c r="I161">
        <v>37</v>
      </c>
      <c r="J161">
        <v>3.9</v>
      </c>
      <c r="K161">
        <v>50</v>
      </c>
      <c r="L16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Empleados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2026-10-16T18:02:30Z</dcterms:created>
  <dcterms:modified xsi:type="dcterms:W3CDTF">2026-10-16T18:02:30Z</dcterms:modified>
</cp:coreProperties>
</file>